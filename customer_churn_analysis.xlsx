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Data" sheetId="1" state="visible" r:id="rId3"/>
    <sheet name="KPI Summary" sheetId="2" state="visible" r:id="rId4"/>
    <sheet name="High-Risk Customers" sheetId="3" state="visible" r:id="rId5"/>
    <sheet name="Trend Analysis" sheetId="4" state="visible" r:id="rId6"/>
    <sheet name="Segment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<sst xmlns="http://schemas.openxmlformats.org/spreadsheetml/2006/main" count="333" uniqueCount="134">
  <si>
    <t xml:space="preserve">Customer ID</t>
  </si>
  <si>
    <t xml:space="preserve">Customer Name</t>
  </si>
  <si>
    <t xml:space="preserve">Segment</t>
  </si>
  <si>
    <t xml:space="preserve">Tenure (Months)</t>
  </si>
  <si>
    <t xml:space="preserve">Monthly Spend ($)</t>
  </si>
  <si>
    <t xml:space="preserve">Support Tickets</t>
  </si>
  <si>
    <t xml:space="preserve">Last Login (Days Ago)</t>
  </si>
  <si>
    <t xml:space="preserve">Contract Type</t>
  </si>
  <si>
    <t xml:space="preserve">NPS Score</t>
  </si>
  <si>
    <t xml:space="preserve">Payment Failures</t>
  </si>
  <si>
    <t xml:space="preserve">Churn Risk Score</t>
  </si>
  <si>
    <t xml:space="preserve">Status</t>
  </si>
  <si>
    <t xml:space="preserve">CUST-1001</t>
  </si>
  <si>
    <t xml:space="preserve">Apex Corp</t>
  </si>
  <si>
    <t xml:space="preserve">Enterprise</t>
  </si>
  <si>
    <t xml:space="preserve">Annual</t>
  </si>
  <si>
    <t xml:space="preserve">Retained</t>
  </si>
  <si>
    <t xml:space="preserve">CUST-1002</t>
  </si>
  <si>
    <t xml:space="preserve">BlueSky Ltd</t>
  </si>
  <si>
    <t xml:space="preserve">CUST-1003</t>
  </si>
  <si>
    <t xml:space="preserve">Crestline Inc</t>
  </si>
  <si>
    <t xml:space="preserve">Monthly</t>
  </si>
  <si>
    <t xml:space="preserve">CUST-1004</t>
  </si>
  <si>
    <t xml:space="preserve">Delta Systems</t>
  </si>
  <si>
    <t xml:space="preserve">At Risk</t>
  </si>
  <si>
    <t xml:space="preserve">CUST-1005</t>
  </si>
  <si>
    <t xml:space="preserve">Echo Partners</t>
  </si>
  <si>
    <t xml:space="preserve">CUST-1006</t>
  </si>
  <si>
    <t xml:space="preserve">Fusion Tech</t>
  </si>
  <si>
    <t xml:space="preserve">Bi-Annual</t>
  </si>
  <si>
    <t xml:space="preserve">CUST-1007</t>
  </si>
  <si>
    <t xml:space="preserve">Greenfield Co</t>
  </si>
  <si>
    <t xml:space="preserve">Startup</t>
  </si>
  <si>
    <t xml:space="preserve">CUST-1008</t>
  </si>
  <si>
    <t xml:space="preserve">Horizon Group</t>
  </si>
  <si>
    <t xml:space="preserve">CUST-1009</t>
  </si>
  <si>
    <t xml:space="preserve">Ironclad Solutions</t>
  </si>
  <si>
    <t xml:space="preserve">SMB</t>
  </si>
  <si>
    <t xml:space="preserve">CUST-1010</t>
  </si>
  <si>
    <t xml:space="preserve">Jasper Enterprises</t>
  </si>
  <si>
    <t xml:space="preserve">CUST-1011</t>
  </si>
  <si>
    <t xml:space="preserve">Keystone Digital</t>
  </si>
  <si>
    <t xml:space="preserve">CUST-1012</t>
  </si>
  <si>
    <t xml:space="preserve">Luminary Co</t>
  </si>
  <si>
    <t xml:space="preserve">Consumer</t>
  </si>
  <si>
    <t xml:space="preserve">CUST-1013</t>
  </si>
  <si>
    <t xml:space="preserve">Meridian LLC</t>
  </si>
  <si>
    <t xml:space="preserve">CUST-1014</t>
  </si>
  <si>
    <t xml:space="preserve">Nexus Corp</t>
  </si>
  <si>
    <t xml:space="preserve">CUST-1015</t>
  </si>
  <si>
    <t xml:space="preserve">Orbit Systems</t>
  </si>
  <si>
    <t xml:space="preserve">CUST-1016</t>
  </si>
  <si>
    <t xml:space="preserve">Pinnacle Group</t>
  </si>
  <si>
    <t xml:space="preserve">CUST-1017</t>
  </si>
  <si>
    <t xml:space="preserve">Quantum Labs</t>
  </si>
  <si>
    <t xml:space="preserve">CUST-1018</t>
  </si>
  <si>
    <t xml:space="preserve">Redwood Inc</t>
  </si>
  <si>
    <t xml:space="preserve">CUST-1019</t>
  </si>
  <si>
    <t xml:space="preserve">Summit Partners</t>
  </si>
  <si>
    <t xml:space="preserve">CUST-1020</t>
  </si>
  <si>
    <t xml:space="preserve">Titan Works</t>
  </si>
  <si>
    <t xml:space="preserve">CUST-1021</t>
  </si>
  <si>
    <t xml:space="preserve">Ultratech</t>
  </si>
  <si>
    <t xml:space="preserve">Churned</t>
  </si>
  <si>
    <t xml:space="preserve">CUST-1022</t>
  </si>
  <si>
    <t xml:space="preserve">Vertex Co</t>
  </si>
  <si>
    <t xml:space="preserve">CUST-1023</t>
  </si>
  <si>
    <t xml:space="preserve">Westgate Inc</t>
  </si>
  <si>
    <t xml:space="preserve">CUST-1024</t>
  </si>
  <si>
    <t xml:space="preserve">Xcel Solutions</t>
  </si>
  <si>
    <t xml:space="preserve">CUST-1025</t>
  </si>
  <si>
    <t xml:space="preserve">Yellowstone Ltd</t>
  </si>
  <si>
    <t xml:space="preserve">CUST-1026</t>
  </si>
  <si>
    <t xml:space="preserve">Zenith Corp</t>
  </si>
  <si>
    <t xml:space="preserve">CUST-1027</t>
  </si>
  <si>
    <t xml:space="preserve">Arcadia Systems</t>
  </si>
  <si>
    <t xml:space="preserve">CUST-1028</t>
  </si>
  <si>
    <t xml:space="preserve">Beacon Analytics</t>
  </si>
  <si>
    <t xml:space="preserve">CUST-1029</t>
  </si>
  <si>
    <t xml:space="preserve">Catalyst Group</t>
  </si>
  <si>
    <t xml:space="preserve">CUST-1030</t>
  </si>
  <si>
    <t xml:space="preserve">Delphi Networks</t>
  </si>
  <si>
    <t xml:space="preserve">CUSTOMER CHURN ANALYSIS</t>
  </si>
  <si>
    <t xml:space="preserve">Key Performance Indicators  ·  Risk Segmentation  ·  Trend Insights</t>
  </si>
  <si>
    <t xml:space="preserve">  ▸  VOLUME KPIs</t>
  </si>
  <si>
    <t xml:space="preserve">TOTAL
CUSTOMERS</t>
  </si>
  <si>
    <t xml:space="preserve">CHURNED</t>
  </si>
  <si>
    <t xml:space="preserve">AT RISK</t>
  </si>
  <si>
    <t xml:space="preserve">RETAINED</t>
  </si>
  <si>
    <t xml:space="preserve">  ▸  RATE &amp; QUALITY KPIs</t>
  </si>
  <si>
    <t xml:space="preserve">CHURN RATE</t>
  </si>
  <si>
    <t xml:space="preserve">RETENTION RATE</t>
  </si>
  <si>
    <t xml:space="preserve">AVG RISK SCORE</t>
  </si>
  <si>
    <t xml:space="preserve">AVG TENURE (MO)</t>
  </si>
  <si>
    <t xml:space="preserve">  ▸  RISK BREAKDOWN BY SEGMENT</t>
  </si>
  <si>
    <t xml:space="preserve">Total</t>
  </si>
  <si>
    <t xml:space="preserve">Churn Rate</t>
  </si>
  <si>
    <t xml:space="preserve">⚠  HIGH-RISK CUSTOMER WATCHLIST</t>
  </si>
  <si>
    <t xml:space="preserve">Customers with Churn Risk Score ≥ 40  ·  Prioritise for Retention Outreach</t>
  </si>
  <si>
    <t xml:space="preserve">#</t>
  </si>
  <si>
    <t xml:space="preserve">Tenure (Mo.)</t>
  </si>
  <si>
    <t xml:space="preserve">Monthly Spend</t>
  </si>
  <si>
    <t xml:space="preserve">Days Since Login</t>
  </si>
  <si>
    <t xml:space="preserve">Risk Score</t>
  </si>
  <si>
    <t xml:space="preserve">Priority</t>
  </si>
  <si>
    <t xml:space="preserve">CRITICAL</t>
  </si>
  <si>
    <t xml:space="preserve">HIGH</t>
  </si>
  <si>
    <t xml:space="preserve">CHURN TREND ANALYSIS  ·  12-Month View</t>
  </si>
  <si>
    <t xml:space="preserve">Month</t>
  </si>
  <si>
    <t xml:space="preserve">Total Customers</t>
  </si>
  <si>
    <t xml:space="preserve">New Customers</t>
  </si>
  <si>
    <t xml:space="preserve">Churn Rate %</t>
  </si>
  <si>
    <t xml:space="preserve">Retention Rate 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</si>
  <si>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</si>
  <si>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</si>
  <si>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</si>
  <si>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</si>
  <si>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</si>
  <si>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</si>
  <si>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</si>
  <si>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</si>
  <si>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</si>
  <si>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</si>
  <si>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</si>
  <si>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</si>
  <si>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CUSTOMER SEGMENTATION  ·  Risk by Segment &amp; Contract</t>
  </si>
  <si>
    <t xml:space="preserve">  ▸  RISK DISTRIBUTION BY SEGMENT</t>
  </si>
  <si>
    <t xml:space="preserve">Critical Risk (≥70)</t>
  </si>
  <si>
    <t xml:space="preserve">High Risk (40-69)</t>
  </si>
  <si>
    <t xml:space="preserve">Low Risk (&lt;40)</t>
  </si>
  <si>
    <t xml:space="preserve">Avg Spend ($)</t>
  </si>
  <si>
    <t xml:space="preserve">Avg NPS</t>
  </si>
  <si>
    <t xml:space="preserve">  ▸  RISK DISTRIBUTION BY CONTRACT TYPE</t>
  </si>
  <si>
    <t xml:space="preserve">  ▸  OVERALL STATUS DISTRIBUTION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</si>
</sst>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"/>
    <numFmt numFmtId="168" formatCode="\$#,##0.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1"/>
      <color rgb="FFBDC3C7"/>
      <name val="Arial"/>
      <family val="0"/>
      <charset val="1"/>
    </font>
    <font>
      <b val="true"/>
      <sz val="12"/>
      <color rgb="FFF1C40F"/>
      <name val="Arial"/>
      <family val="0"/>
      <charset val="1"/>
    </font>
    <font>
      <b val="true"/>
      <sz val="9"/>
      <color rgb="FFBDC3C7"/>
      <name val="Arial"/>
      <family val="0"/>
      <charset val="1"/>
    </font>
    <font>
      <b val="true"/>
      <sz val="22"/>
      <color rgb="FF3498DB"/>
      <name val="Arial"/>
      <family val="0"/>
      <charset val="1"/>
    </font>
    <font>
      <b val="true"/>
      <sz val="22"/>
      <color rgb="FFE74C3C"/>
      <name val="Arial"/>
      <family val="0"/>
      <charset val="1"/>
    </font>
    <font>
      <b val="true"/>
      <sz val="22"/>
      <color rgb="FFF39C12"/>
      <name val="Arial"/>
      <family val="0"/>
      <charset val="1"/>
    </font>
    <font>
      <b val="true"/>
      <sz val="22"/>
      <color rgb="FF27AE60"/>
      <name val="Arial"/>
      <family val="0"/>
      <charset val="1"/>
    </font>
    <font>
      <b val="true"/>
      <sz val="10"/>
      <color rgb="FF3498DB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BDC3C7"/>
      <name val="Arial"/>
      <family val="0"/>
      <charset val="1"/>
    </font>
    <font>
      <b val="true"/>
      <sz val="18"/>
      <color rgb="FFE74C3C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F39C12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F39C12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C4A6E"/>
        <bgColor rgb="FF2C3E50"/>
      </patternFill>
    </fill>
    <fill>
      <patternFill patternType="solid">
        <fgColor rgb="FFF5F7FA"/>
        <bgColor rgb="FFFFFFFF"/>
      </patternFill>
    </fill>
    <fill>
      <patternFill patternType="solid">
        <fgColor rgb="FF27AE60"/>
        <bgColor rgb="FF008080"/>
      </patternFill>
    </fill>
    <fill>
      <patternFill patternType="solid">
        <fgColor rgb="FFFFFFFF"/>
        <bgColor rgb="FFF5F7FA"/>
      </patternFill>
    </fill>
    <fill>
      <patternFill patternType="solid">
        <fgColor rgb="FFF39C12"/>
        <bgColor rgb="FFF1C40F"/>
      </patternFill>
    </fill>
    <fill>
      <patternFill patternType="solid">
        <fgColor rgb="FFE74C3C"/>
        <bgColor rgb="FFFF8080"/>
      </patternFill>
    </fill>
    <fill>
      <patternFill patternType="solid">
        <fgColor rgb="FF1E2A3A"/>
        <bgColor rgb="FF243040"/>
      </patternFill>
    </fill>
    <fill>
      <patternFill patternType="solid">
        <fgColor rgb="FF243447"/>
        <bgColor rgb="FF243040"/>
      </patternFill>
    </fill>
    <fill>
      <patternFill patternType="solid">
        <fgColor rgb="FF3498DB"/>
        <bgColor rgb="FF4F81BD"/>
      </patternFill>
    </fill>
    <fill>
      <patternFill patternType="solid">
        <fgColor rgb="FF251515"/>
        <bgColor rgb="FF2A1A1A"/>
      </patternFill>
    </fill>
    <fill>
      <patternFill patternType="solid">
        <fgColor rgb="FF2A1A1A"/>
        <bgColor rgb="FF251515"/>
      </patternFill>
    </fill>
    <fill>
      <patternFill patternType="solid">
        <fgColor rgb="FF243040"/>
        <bgColor rgb="FF24344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3D5A7A"/>
      </left>
      <right style="thin">
        <color rgb="FF3D5A7A"/>
      </right>
      <top style="thin">
        <color rgb="FF3D5A7A"/>
      </top>
      <bottom style="thin">
        <color rgb="FF3D5A7A"/>
      </bottom>
      <diagonal/>
    </border>
    <border diagonalUp="false" diagonalDown="false">
      <left style="thin">
        <color rgb="FF5D2E2E"/>
      </left>
      <right style="thin">
        <color rgb="FF5D2E2E"/>
      </right>
      <top style="thin">
        <color rgb="FF5D2E2E"/>
      </top>
      <bottom style="thin">
        <color rgb="FF5D2E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51515"/>
      <rgbColor rgb="FF808000"/>
      <rgbColor rgb="FF800080"/>
      <rgbColor rgb="FF008080"/>
      <rgbColor rgb="FFBDC3C7"/>
      <rgbColor rgb="FF878787"/>
      <rgbColor rgb="FF9999FF"/>
      <rgbColor rgb="FF993366"/>
      <rgbColor rgb="FFF5F7FA"/>
      <rgbColor rgb="FFCCFFFF"/>
      <rgbColor rgb="FF660066"/>
      <rgbColor rgb="FFFF8080"/>
      <rgbColor rgb="FF0066CC"/>
      <rgbColor rgb="FFD5D8DC"/>
      <rgbColor rgb="FF2C3E5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498DB"/>
      <rgbColor rgb="FF99CC00"/>
      <rgbColor rgb="FFF1C40F"/>
      <rgbColor rgb="FFF39C12"/>
      <rgbColor rgb="FFE74C3C"/>
      <rgbColor rgb="FF3D5A7A"/>
      <rgbColor rgb="FF969696"/>
      <rgbColor rgb="FF243447"/>
      <rgbColor rgb="FF27AE60"/>
      <rgbColor rgb="FF1E2A3A"/>
      <rgbColor rgb="FF2A1A1A"/>
      <rgbColor rgb="FF5D2E2E"/>
      <rgbColor rgb="FF993366"/>
      <rgbColor rgb="FF2C4A6E"/>
      <rgbColor rgb="FF243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New vs Churned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'Trend Analysis'!D5</c:f>
              <c:strCache>
                <c:ptCount val="1"/>
                <c:pt idx="0">
                  <c:v>New Customers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Analysis'!$D$6:$D$17</c:f>
              <c:numCache>
                <c:formatCode>General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14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</c:ser>
        <c:ser>
          <c:idx val="1"/>
          <c:order val="1"/>
          <c:tx>
            <c:strRef>
              <c:f>'Trend Analysis'!E5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e74c3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Analysis'!$E$6:$E$17</c:f>
              <c:numCache>
                <c:formatCode>General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12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</c:ser>
        <c:gapWidth val="150"/>
        <c:overlap val="0"/>
        <c:axId val="58829411"/>
        <c:axId val="68008098"/>
      </c:barChart>
      <c:catAx>
        <c:axId val="58829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08098"/>
        <c:crosses val="autoZero"/>
        <c:auto val="1"/>
        <c:lblAlgn val="ctr"/>
        <c:lblOffset val="100"/>
        <c:noMultiLvlLbl val="0"/>
      </c:catAx>
      <c:valAx>
        <c:axId val="68008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29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Churn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'Trend Analysis'!G5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e74c3c"/>
            </a:solidFill>
            <a:ln w="2844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 Analysis'!$B$6:$B$17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Analysis'!$G$6:$G$17</c:f>
              <c:numCache>
                <c:formatCode>0.0%</c:formatCode>
                <c:ptCount val="12"/>
                <c:pt idx="0">
                  <c:v>0.0666666666666667</c:v>
                </c:pt>
                <c:pt idx="1">
                  <c:v>0.0569105691056911</c:v>
                </c:pt>
                <c:pt idx="2">
                  <c:v>0.0708661417322835</c:v>
                </c:pt>
                <c:pt idx="3">
                  <c:v>0.0846153846153846</c:v>
                </c:pt>
                <c:pt idx="4">
                  <c:v>0.0740740740740741</c:v>
                </c:pt>
                <c:pt idx="5">
                  <c:v>0.0579710144927536</c:v>
                </c:pt>
                <c:pt idx="6">
                  <c:v>0.0857142857142857</c:v>
                </c:pt>
                <c:pt idx="7">
                  <c:v>0.0633802816901408</c:v>
                </c:pt>
                <c:pt idx="8">
                  <c:v>0.0689655172413793</c:v>
                </c:pt>
                <c:pt idx="9">
                  <c:v>0.0743243243243243</c:v>
                </c:pt>
                <c:pt idx="10">
                  <c:v>0.0533333333333333</c:v>
                </c:pt>
                <c:pt idx="11">
                  <c:v>0.0588235294117647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057301"/>
        <c:axId val="17751488"/>
      </c:lineChart>
      <c:catAx>
        <c:axId val="20057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51488"/>
        <c:crosses val="autoZero"/>
        <c:auto val="1"/>
        <c:lblAlgn val="ctr"/>
        <c:lblOffset val="100"/>
        <c:noMultiLvlLbl val="0"/>
      </c:catAx>
      <c:valAx>
        <c:axId val="17751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573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74c3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39c1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7ae6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Segmentation!$B$21:$B$23</c:f>
              <c:strCache>
                <c:ptCount val="3"/>
                <c:pt idx="0">
                  <c:v>Churned</c:v>
                </c:pt>
                <c:pt idx="1">
                  <c:v>At Risk</c:v>
                </c:pt>
                <c:pt idx="2">
                  <c:v>Retained</c:v>
                </c:pt>
              </c:strCache>
            </c:strRef>
          </c:cat>
          <c:val>
            <c:numRef>
              <c:f>Segmentation!$C$21:$C$23</c:f>
              <c:numCache>
                <c:formatCode>General</c:formatCode>
                <c:ptCount val="3"/>
                <c:pt idx="0">
                  <c:v>2</c:v>
                </c:pt>
                <c:pt idx="1">
                  <c:v>20</c:v>
                </c:pt>
                <c:pt idx="2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8</xdr:col>
      <xdr:colOff>1223280</xdr:colOff>
      <xdr:row>45</xdr:row>
      <xdr:rowOff>86400</xdr:rowOff>
    </xdr:to>
    <xdr:graphicFrame>
      <xdr:nvGraphicFramePr>
        <xdr:cNvPr id="0" name="Chart 1"/>
        <xdr:cNvGraphicFramePr/>
      </xdr:nvGraphicFramePr>
      <xdr:xfrm>
        <a:off x="611640" y="512460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20</xdr:col>
      <xdr:colOff>535320</xdr:colOff>
      <xdr:row>45</xdr:row>
      <xdr:rowOff>86400</xdr:rowOff>
    </xdr:to>
    <xdr:graphicFrame>
      <xdr:nvGraphicFramePr>
        <xdr:cNvPr id="1" name="Chart 2"/>
        <xdr:cNvGraphicFramePr/>
      </xdr:nvGraphicFramePr>
      <xdr:xfrm>
        <a:off x="8576280" y="512460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165960</xdr:colOff>
      <xdr:row>47</xdr:row>
      <xdr:rowOff>86400</xdr:rowOff>
    </xdr:to>
    <xdr:graphicFrame>
      <xdr:nvGraphicFramePr>
        <xdr:cNvPr id="2" name="Chart 1"/>
        <xdr:cNvGraphicFramePr/>
      </xdr:nvGraphicFramePr>
      <xdr:xfrm>
        <a:off x="611640" y="561024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L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6" min="6" style="1" width="17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18"/>
    <col collapsed="false" customWidth="true" hidden="false" outlineLevel="0" max="11" min="11" style="1" width="20"/>
    <col collapsed="false" customWidth="true" hidden="false" outlineLevel="0" max="12" min="12" style="1" width="13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3" t="s">
        <v>14</v>
      </c>
      <c r="D2" s="3" t="n">
        <v>4</v>
      </c>
      <c r="E2" s="3" t="n">
        <v>3759.44</v>
      </c>
      <c r="F2" s="3" t="n">
        <v>7</v>
      </c>
      <c r="G2" s="3" t="n">
        <v>28</v>
      </c>
      <c r="H2" s="3" t="s">
        <v>15</v>
      </c>
      <c r="I2" s="3" t="n">
        <v>8</v>
      </c>
      <c r="J2" s="3" t="n">
        <v>0</v>
      </c>
      <c r="K2" s="3" t="n">
        <v>25</v>
      </c>
      <c r="L2" s="4" t="s">
        <v>16</v>
      </c>
    </row>
    <row r="3" customFormat="false" ht="15" hidden="false" customHeight="true" outlineLevel="0" collapsed="false">
      <c r="A3" s="5" t="s">
        <v>17</v>
      </c>
      <c r="B3" s="5" t="s">
        <v>18</v>
      </c>
      <c r="C3" s="5" t="s">
        <v>14</v>
      </c>
      <c r="D3" s="5" t="n">
        <v>55</v>
      </c>
      <c r="E3" s="5" t="n">
        <v>352.56</v>
      </c>
      <c r="F3" s="5" t="n">
        <v>2</v>
      </c>
      <c r="G3" s="5" t="n">
        <v>27</v>
      </c>
      <c r="H3" s="5" t="s">
        <v>15</v>
      </c>
      <c r="I3" s="5" t="n">
        <v>5</v>
      </c>
      <c r="J3" s="5" t="n">
        <v>4</v>
      </c>
      <c r="K3" s="5" t="n">
        <v>31</v>
      </c>
      <c r="L3" s="4" t="s">
        <v>16</v>
      </c>
    </row>
    <row r="4" customFormat="false" ht="15" hidden="false" customHeight="true" outlineLevel="0" collapsed="false">
      <c r="A4" s="3" t="s">
        <v>19</v>
      </c>
      <c r="B4" s="3" t="s">
        <v>20</v>
      </c>
      <c r="C4" s="3" t="s">
        <v>14</v>
      </c>
      <c r="D4" s="3" t="n">
        <v>72</v>
      </c>
      <c r="E4" s="3" t="n">
        <v>1154.42</v>
      </c>
      <c r="F4" s="3" t="n">
        <v>13</v>
      </c>
      <c r="G4" s="3" t="n">
        <v>28</v>
      </c>
      <c r="H4" s="3" t="s">
        <v>21</v>
      </c>
      <c r="I4" s="3" t="n">
        <v>6</v>
      </c>
      <c r="J4" s="3" t="n">
        <v>2</v>
      </c>
      <c r="K4" s="3" t="n">
        <v>34</v>
      </c>
      <c r="L4" s="4" t="s">
        <v>16</v>
      </c>
    </row>
    <row r="5" customFormat="false" ht="15" hidden="false" customHeight="true" outlineLevel="0" collapsed="false">
      <c r="A5" s="5" t="s">
        <v>22</v>
      </c>
      <c r="B5" s="5" t="s">
        <v>23</v>
      </c>
      <c r="C5" s="5" t="s">
        <v>14</v>
      </c>
      <c r="D5" s="5" t="n">
        <v>21</v>
      </c>
      <c r="E5" s="5" t="n">
        <v>3551.07</v>
      </c>
      <c r="F5" s="5" t="n">
        <v>10</v>
      </c>
      <c r="G5" s="5" t="n">
        <v>35</v>
      </c>
      <c r="H5" s="5" t="s">
        <v>15</v>
      </c>
      <c r="I5" s="5" t="n">
        <v>0</v>
      </c>
      <c r="J5" s="5" t="n">
        <v>2</v>
      </c>
      <c r="K5" s="5" t="n">
        <v>46</v>
      </c>
      <c r="L5" s="6" t="s">
        <v>24</v>
      </c>
    </row>
    <row r="6" customFormat="false" ht="15" hidden="false" customHeight="true" outlineLevel="0" collapsed="false">
      <c r="A6" s="3" t="s">
        <v>25</v>
      </c>
      <c r="B6" s="3" t="s">
        <v>26</v>
      </c>
      <c r="C6" s="3" t="s">
        <v>14</v>
      </c>
      <c r="D6" s="3" t="n">
        <v>12</v>
      </c>
      <c r="E6" s="3" t="n">
        <v>2023.65</v>
      </c>
      <c r="F6" s="3" t="n">
        <v>11</v>
      </c>
      <c r="G6" s="3" t="n">
        <v>108</v>
      </c>
      <c r="H6" s="3" t="s">
        <v>21</v>
      </c>
      <c r="I6" s="3" t="n">
        <v>6</v>
      </c>
      <c r="J6" s="3" t="n">
        <v>2</v>
      </c>
      <c r="K6" s="3" t="n">
        <v>60</v>
      </c>
      <c r="L6" s="6" t="s">
        <v>24</v>
      </c>
    </row>
    <row r="7" customFormat="false" ht="15" hidden="false" customHeight="true" outlineLevel="0" collapsed="false">
      <c r="A7" s="5" t="s">
        <v>27</v>
      </c>
      <c r="B7" s="5" t="s">
        <v>28</v>
      </c>
      <c r="C7" s="5" t="s">
        <v>14</v>
      </c>
      <c r="D7" s="5" t="n">
        <v>59</v>
      </c>
      <c r="E7" s="5" t="n">
        <v>2773.89</v>
      </c>
      <c r="F7" s="5" t="n">
        <v>12</v>
      </c>
      <c r="G7" s="5" t="n">
        <v>10</v>
      </c>
      <c r="H7" s="5" t="s">
        <v>29</v>
      </c>
      <c r="I7" s="5" t="n">
        <v>1</v>
      </c>
      <c r="J7" s="5" t="n">
        <v>5</v>
      </c>
      <c r="K7" s="5" t="n">
        <v>51</v>
      </c>
      <c r="L7" s="6" t="s">
        <v>24</v>
      </c>
    </row>
    <row r="8" customFormat="false" ht="15" hidden="false" customHeight="true" outlineLevel="0" collapsed="false">
      <c r="A8" s="3" t="s">
        <v>30</v>
      </c>
      <c r="B8" s="3" t="s">
        <v>31</v>
      </c>
      <c r="C8" s="3" t="s">
        <v>32</v>
      </c>
      <c r="D8" s="3" t="n">
        <v>25</v>
      </c>
      <c r="E8" s="3" t="n">
        <v>3581.94</v>
      </c>
      <c r="F8" s="3" t="n">
        <v>1</v>
      </c>
      <c r="G8" s="3" t="n">
        <v>84</v>
      </c>
      <c r="H8" s="3" t="s">
        <v>15</v>
      </c>
      <c r="I8" s="3" t="n">
        <v>9</v>
      </c>
      <c r="J8" s="3" t="n">
        <v>2</v>
      </c>
      <c r="K8" s="3" t="n">
        <v>38</v>
      </c>
      <c r="L8" s="4" t="s">
        <v>16</v>
      </c>
    </row>
    <row r="9" customFormat="false" ht="15" hidden="false" customHeight="true" outlineLevel="0" collapsed="false">
      <c r="A9" s="5" t="s">
        <v>33</v>
      </c>
      <c r="B9" s="5" t="s">
        <v>34</v>
      </c>
      <c r="C9" s="5" t="s">
        <v>14</v>
      </c>
      <c r="D9" s="5" t="n">
        <v>30</v>
      </c>
      <c r="E9" s="5" t="n">
        <v>4359.12</v>
      </c>
      <c r="F9" s="5" t="n">
        <v>12</v>
      </c>
      <c r="G9" s="5" t="n">
        <v>35</v>
      </c>
      <c r="H9" s="5" t="s">
        <v>21</v>
      </c>
      <c r="I9" s="5" t="n">
        <v>7</v>
      </c>
      <c r="J9" s="5" t="n">
        <v>2</v>
      </c>
      <c r="K9" s="5" t="n">
        <v>40</v>
      </c>
      <c r="L9" s="6" t="s">
        <v>24</v>
      </c>
    </row>
    <row r="10" customFormat="false" ht="15" hidden="false" customHeight="true" outlineLevel="0" collapsed="false">
      <c r="A10" s="3" t="s">
        <v>35</v>
      </c>
      <c r="B10" s="3" t="s">
        <v>36</v>
      </c>
      <c r="C10" s="3" t="s">
        <v>37</v>
      </c>
      <c r="D10" s="3" t="n">
        <v>48</v>
      </c>
      <c r="E10" s="3" t="n">
        <v>1905.3</v>
      </c>
      <c r="F10" s="3" t="n">
        <v>8</v>
      </c>
      <c r="G10" s="3" t="n">
        <v>89</v>
      </c>
      <c r="H10" s="3" t="s">
        <v>29</v>
      </c>
      <c r="I10" s="3" t="n">
        <v>7</v>
      </c>
      <c r="J10" s="3" t="n">
        <v>0</v>
      </c>
      <c r="K10" s="3" t="n">
        <v>36</v>
      </c>
      <c r="L10" s="4" t="s">
        <v>16</v>
      </c>
    </row>
    <row r="11" customFormat="false" ht="15" hidden="false" customHeight="true" outlineLevel="0" collapsed="false">
      <c r="A11" s="5" t="s">
        <v>38</v>
      </c>
      <c r="B11" s="5" t="s">
        <v>39</v>
      </c>
      <c r="C11" s="5" t="s">
        <v>37</v>
      </c>
      <c r="D11" s="5" t="n">
        <v>69</v>
      </c>
      <c r="E11" s="5" t="n">
        <v>3699.81</v>
      </c>
      <c r="F11" s="5" t="n">
        <v>5</v>
      </c>
      <c r="G11" s="5" t="n">
        <v>59</v>
      </c>
      <c r="H11" s="5" t="s">
        <v>21</v>
      </c>
      <c r="I11" s="5" t="n">
        <v>1</v>
      </c>
      <c r="J11" s="5" t="n">
        <v>5</v>
      </c>
      <c r="K11" s="5" t="n">
        <v>52</v>
      </c>
      <c r="L11" s="6" t="s">
        <v>24</v>
      </c>
    </row>
    <row r="12" customFormat="false" ht="15" hidden="false" customHeight="true" outlineLevel="0" collapsed="false">
      <c r="A12" s="3" t="s">
        <v>40</v>
      </c>
      <c r="B12" s="3" t="s">
        <v>41</v>
      </c>
      <c r="C12" s="3" t="s">
        <v>37</v>
      </c>
      <c r="D12" s="3" t="n">
        <v>42</v>
      </c>
      <c r="E12" s="3" t="n">
        <v>4245.69</v>
      </c>
      <c r="F12" s="3" t="n">
        <v>1</v>
      </c>
      <c r="G12" s="3" t="n">
        <v>29</v>
      </c>
      <c r="H12" s="3" t="s">
        <v>15</v>
      </c>
      <c r="I12" s="3" t="n">
        <v>9</v>
      </c>
      <c r="J12" s="3" t="n">
        <v>2</v>
      </c>
      <c r="K12" s="3" t="n">
        <v>22</v>
      </c>
      <c r="L12" s="4" t="s">
        <v>16</v>
      </c>
    </row>
    <row r="13" customFormat="false" ht="15" hidden="false" customHeight="true" outlineLevel="0" collapsed="false">
      <c r="A13" s="5" t="s">
        <v>42</v>
      </c>
      <c r="B13" s="5" t="s">
        <v>43</v>
      </c>
      <c r="C13" s="5" t="s">
        <v>44</v>
      </c>
      <c r="D13" s="5" t="n">
        <v>35</v>
      </c>
      <c r="E13" s="5" t="n">
        <v>517.71</v>
      </c>
      <c r="F13" s="5" t="n">
        <v>10</v>
      </c>
      <c r="G13" s="5" t="n">
        <v>27</v>
      </c>
      <c r="H13" s="5" t="s">
        <v>29</v>
      </c>
      <c r="I13" s="5" t="n">
        <v>4</v>
      </c>
      <c r="J13" s="5" t="n">
        <v>3</v>
      </c>
      <c r="K13" s="5" t="n">
        <v>41</v>
      </c>
      <c r="L13" s="6" t="s">
        <v>24</v>
      </c>
    </row>
    <row r="14" customFormat="false" ht="15" hidden="false" customHeight="true" outlineLevel="0" collapsed="false">
      <c r="A14" s="3" t="s">
        <v>45</v>
      </c>
      <c r="B14" s="3" t="s">
        <v>46</v>
      </c>
      <c r="C14" s="3" t="s">
        <v>44</v>
      </c>
      <c r="D14" s="3" t="n">
        <v>19</v>
      </c>
      <c r="E14" s="3" t="n">
        <v>1471.42</v>
      </c>
      <c r="F14" s="3" t="n">
        <v>7</v>
      </c>
      <c r="G14" s="3" t="n">
        <v>95</v>
      </c>
      <c r="H14" s="3" t="s">
        <v>29</v>
      </c>
      <c r="I14" s="3" t="n">
        <v>5</v>
      </c>
      <c r="J14" s="3" t="n">
        <v>2</v>
      </c>
      <c r="K14" s="3" t="n">
        <v>50</v>
      </c>
      <c r="L14" s="6" t="s">
        <v>24</v>
      </c>
    </row>
    <row r="15" customFormat="false" ht="15" hidden="false" customHeight="true" outlineLevel="0" collapsed="false">
      <c r="A15" s="5" t="s">
        <v>47</v>
      </c>
      <c r="B15" s="5" t="s">
        <v>48</v>
      </c>
      <c r="C15" s="5" t="s">
        <v>44</v>
      </c>
      <c r="D15" s="5" t="n">
        <v>52</v>
      </c>
      <c r="E15" s="5" t="n">
        <v>1937.58</v>
      </c>
      <c r="F15" s="5" t="n">
        <v>4</v>
      </c>
      <c r="G15" s="5" t="n">
        <v>65</v>
      </c>
      <c r="H15" s="5" t="s">
        <v>21</v>
      </c>
      <c r="I15" s="5" t="n">
        <v>-2</v>
      </c>
      <c r="J15" s="5" t="n">
        <v>0</v>
      </c>
      <c r="K15" s="5" t="n">
        <v>34</v>
      </c>
      <c r="L15" s="4" t="s">
        <v>16</v>
      </c>
    </row>
    <row r="16" customFormat="false" ht="15" hidden="false" customHeight="true" outlineLevel="0" collapsed="false">
      <c r="A16" s="3" t="s">
        <v>49</v>
      </c>
      <c r="B16" s="3" t="s">
        <v>50</v>
      </c>
      <c r="C16" s="3" t="s">
        <v>14</v>
      </c>
      <c r="D16" s="3" t="n">
        <v>20</v>
      </c>
      <c r="E16" s="3" t="n">
        <v>3211.74</v>
      </c>
      <c r="F16" s="3" t="n">
        <v>13</v>
      </c>
      <c r="G16" s="3" t="n">
        <v>76</v>
      </c>
      <c r="H16" s="3" t="s">
        <v>15</v>
      </c>
      <c r="I16" s="3" t="n">
        <v>3</v>
      </c>
      <c r="J16" s="3" t="n">
        <v>3</v>
      </c>
      <c r="K16" s="3" t="n">
        <v>61</v>
      </c>
      <c r="L16" s="6" t="s">
        <v>24</v>
      </c>
    </row>
    <row r="17" customFormat="false" ht="15" hidden="false" customHeight="true" outlineLevel="0" collapsed="false">
      <c r="A17" s="5" t="s">
        <v>51</v>
      </c>
      <c r="B17" s="5" t="s">
        <v>52</v>
      </c>
      <c r="C17" s="5" t="s">
        <v>44</v>
      </c>
      <c r="D17" s="5" t="n">
        <v>68</v>
      </c>
      <c r="E17" s="5" t="n">
        <v>1406.79</v>
      </c>
      <c r="F17" s="5" t="n">
        <v>0</v>
      </c>
      <c r="G17" s="5" t="n">
        <v>87</v>
      </c>
      <c r="H17" s="5" t="s">
        <v>29</v>
      </c>
      <c r="I17" s="5" t="n">
        <v>-2</v>
      </c>
      <c r="J17" s="5" t="n">
        <v>5</v>
      </c>
      <c r="K17" s="5" t="n">
        <v>57</v>
      </c>
      <c r="L17" s="6" t="s">
        <v>24</v>
      </c>
    </row>
    <row r="18" customFormat="false" ht="15" hidden="false" customHeight="true" outlineLevel="0" collapsed="false">
      <c r="A18" s="3" t="s">
        <v>53</v>
      </c>
      <c r="B18" s="3" t="s">
        <v>54</v>
      </c>
      <c r="C18" s="3" t="s">
        <v>32</v>
      </c>
      <c r="D18" s="3" t="n">
        <v>44</v>
      </c>
      <c r="E18" s="3" t="n">
        <v>735.45</v>
      </c>
      <c r="F18" s="3" t="n">
        <v>13</v>
      </c>
      <c r="G18" s="3" t="n">
        <v>20</v>
      </c>
      <c r="H18" s="3" t="s">
        <v>21</v>
      </c>
      <c r="I18" s="3" t="n">
        <v>-3</v>
      </c>
      <c r="J18" s="3" t="n">
        <v>5</v>
      </c>
      <c r="K18" s="3" t="n">
        <v>63</v>
      </c>
      <c r="L18" s="6" t="s">
        <v>24</v>
      </c>
    </row>
    <row r="19" customFormat="false" ht="15" hidden="false" customHeight="true" outlineLevel="0" collapsed="false">
      <c r="A19" s="5" t="s">
        <v>55</v>
      </c>
      <c r="B19" s="5" t="s">
        <v>56</v>
      </c>
      <c r="C19" s="5" t="s">
        <v>32</v>
      </c>
      <c r="D19" s="5" t="n">
        <v>65</v>
      </c>
      <c r="E19" s="5" t="n">
        <v>3857.42</v>
      </c>
      <c r="F19" s="5" t="n">
        <v>3</v>
      </c>
      <c r="G19" s="5" t="n">
        <v>111</v>
      </c>
      <c r="H19" s="5" t="s">
        <v>29</v>
      </c>
      <c r="I19" s="5" t="n">
        <v>1</v>
      </c>
      <c r="J19" s="5" t="n">
        <v>5</v>
      </c>
      <c r="K19" s="5" t="n">
        <v>63</v>
      </c>
      <c r="L19" s="6" t="s">
        <v>24</v>
      </c>
    </row>
    <row r="20" customFormat="false" ht="15" hidden="false" customHeight="true" outlineLevel="0" collapsed="false">
      <c r="A20" s="3" t="s">
        <v>57</v>
      </c>
      <c r="B20" s="3" t="s">
        <v>58</v>
      </c>
      <c r="C20" s="3" t="s">
        <v>37</v>
      </c>
      <c r="D20" s="3" t="n">
        <v>20</v>
      </c>
      <c r="E20" s="3" t="n">
        <v>1994.79</v>
      </c>
      <c r="F20" s="3" t="n">
        <v>5</v>
      </c>
      <c r="G20" s="3" t="n">
        <v>69</v>
      </c>
      <c r="H20" s="3" t="s">
        <v>29</v>
      </c>
      <c r="I20" s="3" t="n">
        <v>-3</v>
      </c>
      <c r="J20" s="3" t="n">
        <v>4</v>
      </c>
      <c r="K20" s="3" t="n">
        <v>63</v>
      </c>
      <c r="L20" s="6" t="s">
        <v>24</v>
      </c>
    </row>
    <row r="21" customFormat="false" ht="15" hidden="false" customHeight="true" outlineLevel="0" collapsed="false">
      <c r="A21" s="5" t="s">
        <v>59</v>
      </c>
      <c r="B21" s="5" t="s">
        <v>60</v>
      </c>
      <c r="C21" s="5" t="s">
        <v>32</v>
      </c>
      <c r="D21" s="5" t="n">
        <v>63</v>
      </c>
      <c r="E21" s="5" t="n">
        <v>293.49</v>
      </c>
      <c r="F21" s="5" t="n">
        <v>11</v>
      </c>
      <c r="G21" s="5" t="n">
        <v>112</v>
      </c>
      <c r="H21" s="5" t="s">
        <v>21</v>
      </c>
      <c r="I21" s="5" t="n">
        <v>0</v>
      </c>
      <c r="J21" s="5" t="n">
        <v>0</v>
      </c>
      <c r="K21" s="5" t="n">
        <v>51</v>
      </c>
      <c r="L21" s="6" t="s">
        <v>24</v>
      </c>
    </row>
    <row r="22" customFormat="false" ht="15" hidden="false" customHeight="true" outlineLevel="0" collapsed="false">
      <c r="A22" s="3" t="s">
        <v>61</v>
      </c>
      <c r="B22" s="3" t="s">
        <v>62</v>
      </c>
      <c r="C22" s="3" t="s">
        <v>37</v>
      </c>
      <c r="D22" s="3" t="n">
        <v>11</v>
      </c>
      <c r="E22" s="3" t="n">
        <v>611.14</v>
      </c>
      <c r="F22" s="3" t="n">
        <v>15</v>
      </c>
      <c r="G22" s="3" t="n">
        <v>104</v>
      </c>
      <c r="H22" s="3" t="s">
        <v>15</v>
      </c>
      <c r="I22" s="3" t="n">
        <v>9</v>
      </c>
      <c r="J22" s="3" t="n">
        <v>4</v>
      </c>
      <c r="K22" s="3" t="n">
        <v>74</v>
      </c>
      <c r="L22" s="7" t="s">
        <v>63</v>
      </c>
    </row>
    <row r="23" customFormat="false" ht="15" hidden="false" customHeight="true" outlineLevel="0" collapsed="false">
      <c r="A23" s="5" t="s">
        <v>64</v>
      </c>
      <c r="B23" s="5" t="s">
        <v>65</v>
      </c>
      <c r="C23" s="5" t="s">
        <v>37</v>
      </c>
      <c r="D23" s="5" t="n">
        <v>17</v>
      </c>
      <c r="E23" s="5" t="n">
        <v>3366.8</v>
      </c>
      <c r="F23" s="5" t="n">
        <v>5</v>
      </c>
      <c r="G23" s="5" t="n">
        <v>33</v>
      </c>
      <c r="H23" s="5" t="s">
        <v>29</v>
      </c>
      <c r="I23" s="5" t="n">
        <v>10</v>
      </c>
      <c r="J23" s="5" t="n">
        <v>4</v>
      </c>
      <c r="K23" s="5" t="n">
        <v>42</v>
      </c>
      <c r="L23" s="6" t="s">
        <v>24</v>
      </c>
    </row>
    <row r="24" customFormat="false" ht="15" hidden="false" customHeight="true" outlineLevel="0" collapsed="false">
      <c r="A24" s="3" t="s">
        <v>66</v>
      </c>
      <c r="B24" s="3" t="s">
        <v>67</v>
      </c>
      <c r="C24" s="3" t="s">
        <v>44</v>
      </c>
      <c r="D24" s="3" t="n">
        <v>28</v>
      </c>
      <c r="E24" s="3" t="n">
        <v>4658.78</v>
      </c>
      <c r="F24" s="3" t="n">
        <v>6</v>
      </c>
      <c r="G24" s="3" t="n">
        <v>91</v>
      </c>
      <c r="H24" s="3" t="s">
        <v>21</v>
      </c>
      <c r="I24" s="3" t="n">
        <v>3</v>
      </c>
      <c r="J24" s="3" t="n">
        <v>5</v>
      </c>
      <c r="K24" s="3" t="n">
        <v>64</v>
      </c>
      <c r="L24" s="6" t="s">
        <v>24</v>
      </c>
    </row>
    <row r="25" customFormat="false" ht="15" hidden="false" customHeight="true" outlineLevel="0" collapsed="false">
      <c r="A25" s="5" t="s">
        <v>68</v>
      </c>
      <c r="B25" s="5" t="s">
        <v>69</v>
      </c>
      <c r="C25" s="5" t="s">
        <v>32</v>
      </c>
      <c r="D25" s="5" t="n">
        <v>57</v>
      </c>
      <c r="E25" s="5" t="n">
        <v>4518.15</v>
      </c>
      <c r="F25" s="5" t="n">
        <v>14</v>
      </c>
      <c r="G25" s="5" t="n">
        <v>15</v>
      </c>
      <c r="H25" s="5" t="s">
        <v>15</v>
      </c>
      <c r="I25" s="5" t="n">
        <v>0</v>
      </c>
      <c r="J25" s="5" t="n">
        <v>0</v>
      </c>
      <c r="K25" s="5" t="n">
        <v>32</v>
      </c>
      <c r="L25" s="4" t="s">
        <v>16</v>
      </c>
    </row>
    <row r="26" customFormat="false" ht="15" hidden="false" customHeight="true" outlineLevel="0" collapsed="false">
      <c r="A26" s="3" t="s">
        <v>70</v>
      </c>
      <c r="B26" s="3" t="s">
        <v>71</v>
      </c>
      <c r="C26" s="3" t="s">
        <v>32</v>
      </c>
      <c r="D26" s="3" t="n">
        <v>3</v>
      </c>
      <c r="E26" s="3" t="n">
        <v>3023.88</v>
      </c>
      <c r="F26" s="3" t="n">
        <v>7</v>
      </c>
      <c r="G26" s="3" t="n">
        <v>75</v>
      </c>
      <c r="H26" s="3" t="s">
        <v>15</v>
      </c>
      <c r="I26" s="3" t="n">
        <v>-3</v>
      </c>
      <c r="J26" s="3" t="n">
        <v>0</v>
      </c>
      <c r="K26" s="3" t="n">
        <v>49</v>
      </c>
      <c r="L26" s="6" t="s">
        <v>24</v>
      </c>
    </row>
    <row r="27" customFormat="false" ht="15" hidden="false" customHeight="true" outlineLevel="0" collapsed="false">
      <c r="A27" s="5" t="s">
        <v>72</v>
      </c>
      <c r="B27" s="5" t="s">
        <v>73</v>
      </c>
      <c r="C27" s="5" t="s">
        <v>14</v>
      </c>
      <c r="D27" s="5" t="n">
        <v>30</v>
      </c>
      <c r="E27" s="5" t="n">
        <v>523.52</v>
      </c>
      <c r="F27" s="5" t="n">
        <v>1</v>
      </c>
      <c r="G27" s="5" t="n">
        <v>110</v>
      </c>
      <c r="H27" s="5" t="s">
        <v>21</v>
      </c>
      <c r="I27" s="5" t="n">
        <v>-2</v>
      </c>
      <c r="J27" s="5" t="n">
        <v>4</v>
      </c>
      <c r="K27" s="5" t="n">
        <v>65</v>
      </c>
      <c r="L27" s="6" t="s">
        <v>24</v>
      </c>
    </row>
    <row r="28" customFormat="false" ht="15" hidden="false" customHeight="true" outlineLevel="0" collapsed="false">
      <c r="A28" s="3" t="s">
        <v>74</v>
      </c>
      <c r="B28" s="3" t="s">
        <v>75</v>
      </c>
      <c r="C28" s="3" t="s">
        <v>37</v>
      </c>
      <c r="D28" s="3" t="n">
        <v>36</v>
      </c>
      <c r="E28" s="3" t="n">
        <v>3411.09</v>
      </c>
      <c r="F28" s="3" t="n">
        <v>6</v>
      </c>
      <c r="G28" s="3" t="n">
        <v>69</v>
      </c>
      <c r="H28" s="3" t="s">
        <v>15</v>
      </c>
      <c r="I28" s="3" t="n">
        <v>8</v>
      </c>
      <c r="J28" s="3" t="n">
        <v>4</v>
      </c>
      <c r="K28" s="3" t="n">
        <v>50</v>
      </c>
      <c r="L28" s="6" t="s">
        <v>24</v>
      </c>
    </row>
    <row r="29" customFormat="false" ht="15" hidden="false" customHeight="true" outlineLevel="0" collapsed="false">
      <c r="A29" s="5" t="s">
        <v>76</v>
      </c>
      <c r="B29" s="5" t="s">
        <v>77</v>
      </c>
      <c r="C29" s="5" t="s">
        <v>44</v>
      </c>
      <c r="D29" s="5" t="n">
        <v>32</v>
      </c>
      <c r="E29" s="5" t="n">
        <v>3966.17</v>
      </c>
      <c r="F29" s="5" t="n">
        <v>13</v>
      </c>
      <c r="G29" s="5" t="n">
        <v>24</v>
      </c>
      <c r="H29" s="5" t="s">
        <v>15</v>
      </c>
      <c r="I29" s="5" t="n">
        <v>-2</v>
      </c>
      <c r="J29" s="5" t="n">
        <v>5</v>
      </c>
      <c r="K29" s="5" t="n">
        <v>64</v>
      </c>
      <c r="L29" s="6" t="s">
        <v>24</v>
      </c>
    </row>
    <row r="30" customFormat="false" ht="15" hidden="false" customHeight="true" outlineLevel="0" collapsed="false">
      <c r="A30" s="3" t="s">
        <v>78</v>
      </c>
      <c r="B30" s="3" t="s">
        <v>79</v>
      </c>
      <c r="C30" s="3" t="s">
        <v>44</v>
      </c>
      <c r="D30" s="3" t="n">
        <v>46</v>
      </c>
      <c r="E30" s="3" t="n">
        <v>2233.18</v>
      </c>
      <c r="F30" s="3" t="n">
        <v>14</v>
      </c>
      <c r="G30" s="3" t="n">
        <v>110</v>
      </c>
      <c r="H30" s="3" t="s">
        <v>29</v>
      </c>
      <c r="I30" s="3" t="n">
        <v>-3</v>
      </c>
      <c r="J30" s="3" t="n">
        <v>5</v>
      </c>
      <c r="K30" s="3" t="n">
        <v>86</v>
      </c>
      <c r="L30" s="7" t="s">
        <v>63</v>
      </c>
    </row>
    <row r="31" customFormat="false" ht="15" hidden="false" customHeight="true" outlineLevel="0" collapsed="false">
      <c r="A31" s="5" t="s">
        <v>80</v>
      </c>
      <c r="B31" s="5" t="s">
        <v>81</v>
      </c>
      <c r="C31" s="5" t="s">
        <v>14</v>
      </c>
      <c r="D31" s="5" t="n">
        <v>8</v>
      </c>
      <c r="E31" s="5" t="n">
        <v>2132.58</v>
      </c>
      <c r="F31" s="5" t="n">
        <v>10</v>
      </c>
      <c r="G31" s="5" t="n">
        <v>102</v>
      </c>
      <c r="H31" s="5" t="s">
        <v>15</v>
      </c>
      <c r="I31" s="5" t="n">
        <v>0</v>
      </c>
      <c r="J31" s="5" t="n">
        <v>1</v>
      </c>
      <c r="K31" s="5" t="n">
        <v>60</v>
      </c>
      <c r="L31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S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12" min="3" style="1" width="14"/>
    <col collapsed="false" customWidth="true" hidden="false" outlineLevel="0" max="13" min="13" style="1" width="4"/>
  </cols>
  <sheetData>
    <row r="1" customFormat="false" ht="15" hidden="false" customHeight="tru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39.75" hidden="false" customHeight="true" outlineLevel="0" collapsed="false">
      <c r="A2" s="8"/>
      <c r="B2" s="9" t="s">
        <v>82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8"/>
      <c r="O2" s="8"/>
      <c r="P2" s="8"/>
      <c r="Q2" s="8"/>
      <c r="R2" s="8"/>
      <c r="S2" s="8"/>
    </row>
    <row r="3" customFormat="false" ht="21.75" hidden="false" customHeight="true" outlineLevel="0" collapsed="false">
      <c r="A3" s="8"/>
      <c r="B3" s="10" t="s">
        <v>83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8"/>
      <c r="N3" s="8"/>
      <c r="O3" s="8"/>
      <c r="P3" s="8"/>
      <c r="Q3" s="8"/>
      <c r="R3" s="8"/>
      <c r="S3" s="8"/>
    </row>
    <row r="4" customFormat="false" ht="25.5" hidden="false" customHeight="true" outlineLevel="0" collapsed="false">
      <c r="A4" s="8"/>
      <c r="B4" s="11" t="s">
        <v>84</v>
      </c>
      <c r="C4" s="11"/>
      <c r="D4" s="11"/>
      <c r="E4" s="11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</row>
    <row r="5" customFormat="false" ht="19.5" hidden="false" customHeight="true" outlineLevel="0" collapsed="false">
      <c r="A5" s="8"/>
      <c r="B5" s="8"/>
      <c r="C5" s="12"/>
      <c r="D5" s="12"/>
      <c r="E5" s="12"/>
      <c r="F5" s="13"/>
      <c r="G5" s="13"/>
      <c r="H5" s="13"/>
      <c r="I5" s="14"/>
      <c r="J5" s="14"/>
      <c r="K5" s="14"/>
      <c r="L5" s="15"/>
      <c r="M5" s="15"/>
      <c r="N5" s="15"/>
      <c r="O5" s="8"/>
      <c r="P5" s="8"/>
      <c r="Q5" s="8"/>
      <c r="R5" s="8"/>
      <c r="S5" s="8"/>
    </row>
    <row r="6" customFormat="false" ht="19.5" hidden="false" customHeight="true" outlineLevel="0" collapsed="false">
      <c r="A6" s="8"/>
      <c r="B6" s="8"/>
      <c r="C6" s="16" t="s">
        <v>85</v>
      </c>
      <c r="D6" s="16"/>
      <c r="E6" s="16"/>
      <c r="F6" s="16" t="s">
        <v>86</v>
      </c>
      <c r="G6" s="16"/>
      <c r="H6" s="16"/>
      <c r="I6" s="16" t="s">
        <v>87</v>
      </c>
      <c r="J6" s="16"/>
      <c r="K6" s="16"/>
      <c r="L6" s="16" t="s">
        <v>88</v>
      </c>
      <c r="M6" s="16"/>
      <c r="N6" s="16"/>
      <c r="O6" s="8"/>
      <c r="P6" s="8"/>
      <c r="Q6" s="8"/>
      <c r="R6" s="8"/>
      <c r="S6" s="8"/>
    </row>
    <row r="7" customFormat="false" ht="19.5" hidden="false" customHeight="true" outlineLevel="0" collapsed="false">
      <c r="A7" s="8"/>
      <c r="B7" s="8"/>
      <c r="C7" s="17" t="str">
        <f aca="false">'Customer Data'!A31</f>
        <v>CUST-1030</v>
      </c>
      <c r="D7" s="17"/>
      <c r="E7" s="17"/>
      <c r="F7" s="18" t="n">
        <f aca="false">COUNTIF('Customer Data'!L2:L31,"Churned")</f>
        <v>2</v>
      </c>
      <c r="G7" s="18"/>
      <c r="H7" s="18"/>
      <c r="I7" s="19" t="n">
        <f aca="false">COUNTIF('Customer Data'!L2:L31,"At Risk")</f>
        <v>20</v>
      </c>
      <c r="J7" s="19"/>
      <c r="K7" s="19"/>
      <c r="L7" s="20" t="n">
        <f aca="false">COUNTIF('Customer Data'!L2:L31,"Retained")</f>
        <v>8</v>
      </c>
      <c r="M7" s="20"/>
      <c r="N7" s="20"/>
      <c r="O7" s="8"/>
      <c r="P7" s="8"/>
      <c r="Q7" s="8"/>
      <c r="R7" s="8"/>
      <c r="S7" s="8"/>
    </row>
    <row r="8" customFormat="false" ht="19.5" hidden="false" customHeight="true" outlineLevel="0" collapsed="false">
      <c r="A8" s="8"/>
      <c r="B8" s="8"/>
      <c r="C8" s="17"/>
      <c r="D8" s="17"/>
      <c r="E8" s="17"/>
      <c r="F8" s="18"/>
      <c r="G8" s="18"/>
      <c r="H8" s="18"/>
      <c r="I8" s="19"/>
      <c r="J8" s="19"/>
      <c r="K8" s="19"/>
      <c r="L8" s="20"/>
      <c r="M8" s="20"/>
      <c r="N8" s="20"/>
      <c r="O8" s="8"/>
      <c r="P8" s="8"/>
      <c r="Q8" s="8"/>
      <c r="R8" s="8"/>
      <c r="S8" s="8"/>
    </row>
    <row r="9" customFormat="false" ht="19.5" hidden="false" customHeight="true" outlineLevel="0" collapsed="false">
      <c r="A9" s="8"/>
      <c r="B9" s="8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8"/>
      <c r="P9" s="8"/>
      <c r="Q9" s="8"/>
      <c r="R9" s="8"/>
      <c r="S9" s="8"/>
    </row>
    <row r="10" customFormat="false" ht="19.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19.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5.5" hidden="false" customHeight="true" outlineLevel="0" collapsed="false">
      <c r="A12" s="8"/>
      <c r="B12" s="11" t="s">
        <v>89</v>
      </c>
      <c r="C12" s="11"/>
      <c r="D12" s="11"/>
      <c r="E12" s="11"/>
      <c r="F12" s="11"/>
      <c r="G12" s="11"/>
      <c r="H12" s="11"/>
      <c r="I12" s="11"/>
      <c r="J12" s="11"/>
      <c r="K12" s="11"/>
      <c r="L12" s="8"/>
      <c r="M12" s="8"/>
      <c r="N12" s="8"/>
      <c r="O12" s="8"/>
      <c r="P12" s="8"/>
      <c r="Q12" s="8"/>
      <c r="R12" s="8"/>
      <c r="S12" s="8"/>
    </row>
    <row r="13" customFormat="false" ht="19.5" hidden="false" customHeight="true" outlineLevel="0" collapsed="false">
      <c r="A13" s="8"/>
      <c r="B13" s="8"/>
      <c r="C13" s="13"/>
      <c r="D13" s="13"/>
      <c r="E13" s="13"/>
      <c r="F13" s="15"/>
      <c r="G13" s="15"/>
      <c r="H13" s="15"/>
      <c r="I13" s="14"/>
      <c r="J13" s="14"/>
      <c r="K13" s="14"/>
      <c r="L13" s="12"/>
      <c r="M13" s="12"/>
      <c r="N13" s="12"/>
      <c r="O13" s="8"/>
      <c r="P13" s="8"/>
      <c r="Q13" s="8"/>
      <c r="R13" s="8"/>
      <c r="S13" s="8"/>
    </row>
    <row r="14" customFormat="false" ht="19.5" hidden="false" customHeight="true" outlineLevel="0" collapsed="false">
      <c r="A14" s="8"/>
      <c r="B14" s="8"/>
      <c r="C14" s="16" t="s">
        <v>90</v>
      </c>
      <c r="D14" s="16"/>
      <c r="E14" s="16"/>
      <c r="F14" s="16" t="s">
        <v>91</v>
      </c>
      <c r="G14" s="16"/>
      <c r="H14" s="16"/>
      <c r="I14" s="16" t="s">
        <v>92</v>
      </c>
      <c r="J14" s="16"/>
      <c r="K14" s="16"/>
      <c r="L14" s="16" t="s">
        <v>93</v>
      </c>
      <c r="M14" s="16"/>
      <c r="N14" s="16"/>
      <c r="O14" s="8"/>
      <c r="P14" s="8"/>
      <c r="Q14" s="8"/>
      <c r="R14" s="8"/>
      <c r="S14" s="8"/>
    </row>
    <row r="15" customFormat="false" ht="19.5" hidden="false" customHeight="true" outlineLevel="0" collapsed="false">
      <c r="A15" s="8"/>
      <c r="B15" s="8"/>
      <c r="C15" s="22" t="n">
        <f aca="false">COUNTIF('Customer Data'!L2:L31,"Churned")/COUNTA('Customer Data'!L2:L31)</f>
        <v>0.0666666666666667</v>
      </c>
      <c r="D15" s="22"/>
      <c r="E15" s="22"/>
      <c r="F15" s="23" t="n">
        <f aca="false">COUNTIF('Customer Data'!L2:L31,"Retained")/COUNTA('Customer Data'!L2:L31)</f>
        <v>0.266666666666667</v>
      </c>
      <c r="G15" s="23"/>
      <c r="H15" s="23"/>
      <c r="I15" s="24" t="n">
        <f aca="false">AVERAGE('Customer Data'!K2:K31)</f>
        <v>50.1333333333333</v>
      </c>
      <c r="J15" s="24"/>
      <c r="K15" s="24"/>
      <c r="L15" s="25" t="n">
        <f aca="false">AVERAGE('Customer Data'!D2:D31)</f>
        <v>36.3666666666667</v>
      </c>
      <c r="M15" s="25"/>
      <c r="N15" s="25"/>
      <c r="O15" s="8"/>
      <c r="P15" s="8"/>
      <c r="Q15" s="8"/>
      <c r="R15" s="8"/>
      <c r="S15" s="8"/>
    </row>
    <row r="16" customFormat="false" ht="19.5" hidden="false" customHeight="true" outlineLevel="0" collapsed="false">
      <c r="A16" s="8"/>
      <c r="B16" s="8"/>
      <c r="C16" s="22"/>
      <c r="D16" s="22"/>
      <c r="E16" s="22"/>
      <c r="F16" s="23"/>
      <c r="G16" s="23"/>
      <c r="H16" s="23"/>
      <c r="I16" s="24"/>
      <c r="J16" s="24"/>
      <c r="K16" s="24"/>
      <c r="L16" s="25"/>
      <c r="M16" s="25"/>
      <c r="N16" s="25"/>
      <c r="O16" s="8"/>
      <c r="P16" s="8"/>
      <c r="Q16" s="8"/>
      <c r="R16" s="8"/>
      <c r="S16" s="8"/>
    </row>
    <row r="17" customFormat="false" ht="19.5" hidden="false" customHeight="true" outlineLevel="0" collapsed="false">
      <c r="A17" s="8"/>
      <c r="B17" s="8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8"/>
      <c r="P17" s="8"/>
      <c r="Q17" s="8"/>
      <c r="R17" s="8"/>
      <c r="S17" s="8"/>
    </row>
    <row r="18" customFormat="false" ht="19.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19.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5.5" hidden="false" customHeight="true" outlineLevel="0" collapsed="false">
      <c r="A20" s="8"/>
      <c r="B20" s="11" t="s">
        <v>94</v>
      </c>
      <c r="C20" s="11"/>
      <c r="D20" s="11"/>
      <c r="E20" s="11"/>
      <c r="F20" s="11"/>
      <c r="G20" s="11"/>
      <c r="H20" s="11"/>
      <c r="I20" s="11"/>
      <c r="J20" s="11"/>
      <c r="K20" s="11"/>
      <c r="L20" s="8"/>
      <c r="M20" s="8"/>
      <c r="N20" s="8"/>
      <c r="O20" s="8"/>
      <c r="P20" s="8"/>
      <c r="Q20" s="8"/>
      <c r="R20" s="8"/>
      <c r="S20" s="8"/>
    </row>
    <row r="21" customFormat="false" ht="24" hidden="false" customHeight="true" outlineLevel="0" collapsed="false">
      <c r="A21" s="8"/>
      <c r="B21" s="26" t="s">
        <v>2</v>
      </c>
      <c r="C21" s="27" t="s">
        <v>95</v>
      </c>
      <c r="D21" s="28" t="s">
        <v>63</v>
      </c>
      <c r="E21" s="29" t="s">
        <v>24</v>
      </c>
      <c r="F21" s="30" t="s">
        <v>16</v>
      </c>
      <c r="G21" s="28" t="s">
        <v>96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21.75" hidden="false" customHeight="true" outlineLevel="0" collapsed="false">
      <c r="A22" s="8"/>
      <c r="B22" s="27" t="s">
        <v>14</v>
      </c>
      <c r="C22" s="31" t="n">
        <f aca="false">COUNTIF('Customer Data'!C2:C31,"Enterprise")</f>
        <v>10</v>
      </c>
      <c r="D22" s="31" t="n">
        <f aca="false">COUNTIFS('Customer Data'!C2:C31,"Enterprise",'Customer Data'!L2:L31,"Churned")</f>
        <v>0</v>
      </c>
      <c r="E22" s="31" t="n">
        <f aca="false">COUNTIFS('Customer Data'!C2:C31,"Enterprise",'Customer Data'!L2:L31,"At Risk")</f>
        <v>7</v>
      </c>
      <c r="F22" s="31" t="n">
        <f aca="false">COUNTIFS('Customer Data'!C2:C31,"Enterprise",'Customer Data'!L2:L31,"Retained")</f>
        <v>3</v>
      </c>
      <c r="G22" s="32" t="n">
        <f aca="false">IF(C22=0,0,D22/C22)</f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21.75" hidden="false" customHeight="true" outlineLevel="0" collapsed="false">
      <c r="A23" s="8"/>
      <c r="B23" s="27" t="s">
        <v>37</v>
      </c>
      <c r="C23" s="31" t="n">
        <f aca="false">COUNTIF('Customer Data'!C2:C31,"SMB")</f>
        <v>7</v>
      </c>
      <c r="D23" s="31" t="n">
        <f aca="false">COUNTIFS('Customer Data'!C2:C31,"SMB",'Customer Data'!L2:L31,"Churned")</f>
        <v>1</v>
      </c>
      <c r="E23" s="31" t="n">
        <f aca="false">COUNTIFS('Customer Data'!C2:C31,"SMB",'Customer Data'!L2:L31,"At Risk")</f>
        <v>4</v>
      </c>
      <c r="F23" s="31" t="n">
        <f aca="false">COUNTIFS('Customer Data'!C2:C31,"SMB",'Customer Data'!L2:L31,"Retained")</f>
        <v>2</v>
      </c>
      <c r="G23" s="32" t="n">
        <f aca="false">IF(C23=0,0,D23/C23)</f>
        <v>0.142857142857143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21.75" hidden="false" customHeight="true" outlineLevel="0" collapsed="false">
      <c r="A24" s="8"/>
      <c r="B24" s="27" t="s">
        <v>32</v>
      </c>
      <c r="C24" s="31" t="n">
        <f aca="false">COUNTIF('Customer Data'!C2:C31,"Startup")</f>
        <v>6</v>
      </c>
      <c r="D24" s="31" t="n">
        <f aca="false">COUNTIFS('Customer Data'!C2:C31,"Startup",'Customer Data'!L2:L31,"Churned")</f>
        <v>0</v>
      </c>
      <c r="E24" s="31" t="n">
        <f aca="false">COUNTIFS('Customer Data'!C2:C31,"Startup",'Customer Data'!L2:L31,"At Risk")</f>
        <v>4</v>
      </c>
      <c r="F24" s="31" t="n">
        <f aca="false">COUNTIFS('Customer Data'!C2:C31,"Startup",'Customer Data'!L2:L31,"Retained")</f>
        <v>2</v>
      </c>
      <c r="G24" s="32" t="n">
        <f aca="false">IF(C24=0,0,D24/C24)</f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21.75" hidden="false" customHeight="true" outlineLevel="0" collapsed="false">
      <c r="A25" s="8"/>
      <c r="B25" s="27" t="s">
        <v>44</v>
      </c>
      <c r="C25" s="31" t="n">
        <f aca="false">COUNTIF('Customer Data'!C2:C31,"Consumer")</f>
        <v>7</v>
      </c>
      <c r="D25" s="31" t="n">
        <f aca="false">COUNTIFS('Customer Data'!C2:C31,"Consumer",'Customer Data'!L2:L31,"Churned")</f>
        <v>1</v>
      </c>
      <c r="E25" s="31" t="n">
        <f aca="false">COUNTIFS('Customer Data'!C2:C31,"Consumer",'Customer Data'!L2:L31,"At Risk")</f>
        <v>5</v>
      </c>
      <c r="F25" s="31" t="n">
        <f aca="false">COUNTIFS('Customer Data'!C2:C31,"Consumer",'Customer Data'!L2:L31,"Retained")</f>
        <v>1</v>
      </c>
      <c r="G25" s="32" t="n">
        <f aca="false">IF(C25=0,0,D25/C25)</f>
        <v>0.142857142857143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customFormat="false" ht="1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customFormat="false" ht="1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customFormat="false" ht="1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customFormat="false" ht="1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customFormat="false" ht="1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customFormat="false" ht="1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customFormat="false" ht="1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customFormat="false" ht="1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customFormat="false" ht="1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customFormat="false" ht="1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customFormat="false" ht="1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customFormat="false" ht="1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customFormat="false" ht="1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customFormat="false" ht="15" hidden="false" customHeight="tru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customFormat="false" ht="15" hidden="false" customHeight="tru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customFormat="false" ht="15" hidden="false" customHeight="tru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customFormat="false" ht="15" hidden="false" customHeight="tru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customFormat="false" ht="15" hidden="false" customHeight="tru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</sheetData>
  <mergeCells count="21">
    <mergeCell ref="B2:L2"/>
    <mergeCell ref="B3:L3"/>
    <mergeCell ref="B4:K4"/>
    <mergeCell ref="C6:E6"/>
    <mergeCell ref="F6:H6"/>
    <mergeCell ref="I6:K6"/>
    <mergeCell ref="L6:N6"/>
    <mergeCell ref="C7:E8"/>
    <mergeCell ref="F7:H8"/>
    <mergeCell ref="I7:K8"/>
    <mergeCell ref="L7:N8"/>
    <mergeCell ref="B12:K12"/>
    <mergeCell ref="C14:E14"/>
    <mergeCell ref="F14:H14"/>
    <mergeCell ref="I14:K14"/>
    <mergeCell ref="L14:N14"/>
    <mergeCell ref="C15:E16"/>
    <mergeCell ref="F15:H16"/>
    <mergeCell ref="I15:K16"/>
    <mergeCell ref="L15:N16"/>
    <mergeCell ref="B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7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13"/>
    <col collapsed="false" customWidth="true" hidden="false" outlineLevel="0" max="13" min="13" style="1" width="14"/>
  </cols>
  <sheetData>
    <row r="1" customFormat="false" ht="15" hidden="false" customHeight="tru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37.5" hidden="false" customHeight="true" outlineLevel="0" collapsed="false">
      <c r="A2" s="8"/>
      <c r="B2" s="33" t="s">
        <v>97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8"/>
      <c r="P2" s="8"/>
      <c r="Q2" s="8"/>
    </row>
    <row r="3" customFormat="false" ht="21.75" hidden="false" customHeight="true" outlineLevel="0" collapsed="false">
      <c r="A3" s="8"/>
      <c r="B3" s="10" t="s">
        <v>98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/>
      <c r="P3" s="8"/>
      <c r="Q3" s="8"/>
    </row>
    <row r="4" customFormat="false" ht="15" hidden="false" customHeight="tru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30" hidden="false" customHeight="true" outlineLevel="0" collapsed="false">
      <c r="A5" s="8"/>
      <c r="B5" s="2" t="s">
        <v>99</v>
      </c>
      <c r="C5" s="2" t="s">
        <v>0</v>
      </c>
      <c r="D5" s="2" t="s">
        <v>1</v>
      </c>
      <c r="E5" s="2" t="s">
        <v>2</v>
      </c>
      <c r="F5" s="2" t="s">
        <v>100</v>
      </c>
      <c r="G5" s="2" t="s">
        <v>101</v>
      </c>
      <c r="H5" s="2" t="s">
        <v>5</v>
      </c>
      <c r="I5" s="2" t="s">
        <v>102</v>
      </c>
      <c r="J5" s="2" t="s">
        <v>8</v>
      </c>
      <c r="K5" s="2" t="s">
        <v>9</v>
      </c>
      <c r="L5" s="2" t="s">
        <v>103</v>
      </c>
      <c r="M5" s="2" t="s">
        <v>104</v>
      </c>
      <c r="N5" s="8"/>
      <c r="O5" s="8"/>
      <c r="P5" s="8"/>
      <c r="Q5" s="8"/>
    </row>
    <row r="6" customFormat="false" ht="21.75" hidden="false" customHeight="true" outlineLevel="0" collapsed="false">
      <c r="A6" s="8"/>
      <c r="B6" s="34" t="n">
        <v>1</v>
      </c>
      <c r="C6" s="34" t="s">
        <v>78</v>
      </c>
      <c r="D6" s="34" t="s">
        <v>79</v>
      </c>
      <c r="E6" s="34" t="s">
        <v>44</v>
      </c>
      <c r="F6" s="35" t="n">
        <v>46</v>
      </c>
      <c r="G6" s="34" t="n">
        <v>2233.18</v>
      </c>
      <c r="H6" s="34" t="n">
        <v>14</v>
      </c>
      <c r="I6" s="34" t="n">
        <v>110</v>
      </c>
      <c r="J6" s="34" t="n">
        <v>-3</v>
      </c>
      <c r="K6" s="34" t="n">
        <v>5</v>
      </c>
      <c r="L6" s="36" t="n">
        <v>86</v>
      </c>
      <c r="M6" s="37" t="s">
        <v>105</v>
      </c>
      <c r="N6" s="8"/>
      <c r="O6" s="8"/>
      <c r="P6" s="8"/>
      <c r="Q6" s="8"/>
    </row>
    <row r="7" customFormat="false" ht="21.75" hidden="false" customHeight="true" outlineLevel="0" collapsed="false">
      <c r="A7" s="8"/>
      <c r="B7" s="38" t="n">
        <v>2</v>
      </c>
      <c r="C7" s="38" t="s">
        <v>61</v>
      </c>
      <c r="D7" s="38" t="s">
        <v>62</v>
      </c>
      <c r="E7" s="38" t="s">
        <v>37</v>
      </c>
      <c r="F7" s="39" t="n">
        <v>11</v>
      </c>
      <c r="G7" s="38" t="n">
        <v>611.14</v>
      </c>
      <c r="H7" s="38" t="n">
        <v>15</v>
      </c>
      <c r="I7" s="38" t="n">
        <v>104</v>
      </c>
      <c r="J7" s="38" t="n">
        <v>9</v>
      </c>
      <c r="K7" s="38" t="n">
        <v>4</v>
      </c>
      <c r="L7" s="40" t="n">
        <v>74</v>
      </c>
      <c r="M7" s="37" t="s">
        <v>105</v>
      </c>
      <c r="N7" s="8"/>
      <c r="O7" s="8"/>
      <c r="P7" s="8"/>
      <c r="Q7" s="8"/>
    </row>
    <row r="8" customFormat="false" ht="21.75" hidden="false" customHeight="true" outlineLevel="0" collapsed="false">
      <c r="A8" s="8"/>
      <c r="B8" s="34" t="n">
        <v>3</v>
      </c>
      <c r="C8" s="34" t="s">
        <v>72</v>
      </c>
      <c r="D8" s="34" t="s">
        <v>73</v>
      </c>
      <c r="E8" s="34" t="s">
        <v>14</v>
      </c>
      <c r="F8" s="35" t="n">
        <v>30</v>
      </c>
      <c r="G8" s="34" t="n">
        <v>523.52</v>
      </c>
      <c r="H8" s="34" t="n">
        <v>1</v>
      </c>
      <c r="I8" s="34" t="n">
        <v>110</v>
      </c>
      <c r="J8" s="34" t="n">
        <v>-2</v>
      </c>
      <c r="K8" s="34" t="n">
        <v>4</v>
      </c>
      <c r="L8" s="41" t="n">
        <v>65</v>
      </c>
      <c r="M8" s="42" t="s">
        <v>106</v>
      </c>
      <c r="N8" s="8"/>
      <c r="O8" s="8"/>
      <c r="P8" s="8"/>
      <c r="Q8" s="8"/>
    </row>
    <row r="9" customFormat="false" ht="21.75" hidden="false" customHeight="true" outlineLevel="0" collapsed="false">
      <c r="A9" s="8"/>
      <c r="B9" s="38" t="n">
        <v>4</v>
      </c>
      <c r="C9" s="38" t="s">
        <v>66</v>
      </c>
      <c r="D9" s="38" t="s">
        <v>67</v>
      </c>
      <c r="E9" s="38" t="s">
        <v>44</v>
      </c>
      <c r="F9" s="39" t="n">
        <v>28</v>
      </c>
      <c r="G9" s="38" t="n">
        <v>4658.78</v>
      </c>
      <c r="H9" s="38" t="n">
        <v>6</v>
      </c>
      <c r="I9" s="38" t="n">
        <v>91</v>
      </c>
      <c r="J9" s="38" t="n">
        <v>3</v>
      </c>
      <c r="K9" s="38" t="n">
        <v>5</v>
      </c>
      <c r="L9" s="43" t="n">
        <v>64</v>
      </c>
      <c r="M9" s="42" t="s">
        <v>106</v>
      </c>
      <c r="N9" s="8"/>
      <c r="O9" s="8"/>
      <c r="P9" s="8"/>
      <c r="Q9" s="8"/>
    </row>
    <row r="10" customFormat="false" ht="21.75" hidden="false" customHeight="true" outlineLevel="0" collapsed="false">
      <c r="A10" s="8"/>
      <c r="B10" s="34" t="n">
        <v>5</v>
      </c>
      <c r="C10" s="34" t="s">
        <v>76</v>
      </c>
      <c r="D10" s="34" t="s">
        <v>77</v>
      </c>
      <c r="E10" s="34" t="s">
        <v>44</v>
      </c>
      <c r="F10" s="35" t="n">
        <v>32</v>
      </c>
      <c r="G10" s="34" t="n">
        <v>3966.17</v>
      </c>
      <c r="H10" s="34" t="n">
        <v>13</v>
      </c>
      <c r="I10" s="34" t="n">
        <v>24</v>
      </c>
      <c r="J10" s="34" t="n">
        <v>-2</v>
      </c>
      <c r="K10" s="34" t="n">
        <v>5</v>
      </c>
      <c r="L10" s="41" t="n">
        <v>64</v>
      </c>
      <c r="M10" s="42" t="s">
        <v>106</v>
      </c>
      <c r="N10" s="8"/>
      <c r="O10" s="8"/>
      <c r="P10" s="8"/>
      <c r="Q10" s="8"/>
    </row>
    <row r="11" customFormat="false" ht="21.75" hidden="false" customHeight="true" outlineLevel="0" collapsed="false">
      <c r="A11" s="8"/>
      <c r="B11" s="38" t="n">
        <v>6</v>
      </c>
      <c r="C11" s="38" t="s">
        <v>53</v>
      </c>
      <c r="D11" s="38" t="s">
        <v>54</v>
      </c>
      <c r="E11" s="38" t="s">
        <v>32</v>
      </c>
      <c r="F11" s="39" t="n">
        <v>44</v>
      </c>
      <c r="G11" s="38" t="n">
        <v>735.45</v>
      </c>
      <c r="H11" s="38" t="n">
        <v>13</v>
      </c>
      <c r="I11" s="38" t="n">
        <v>20</v>
      </c>
      <c r="J11" s="38" t="n">
        <v>-3</v>
      </c>
      <c r="K11" s="38" t="n">
        <v>5</v>
      </c>
      <c r="L11" s="43" t="n">
        <v>63</v>
      </c>
      <c r="M11" s="42" t="s">
        <v>106</v>
      </c>
      <c r="N11" s="8"/>
      <c r="O11" s="8"/>
      <c r="P11" s="8"/>
      <c r="Q11" s="8"/>
    </row>
    <row r="12" customFormat="false" ht="21.75" hidden="false" customHeight="true" outlineLevel="0" collapsed="false">
      <c r="A12" s="8"/>
      <c r="B12" s="34" t="n">
        <v>7</v>
      </c>
      <c r="C12" s="34" t="s">
        <v>55</v>
      </c>
      <c r="D12" s="34" t="s">
        <v>56</v>
      </c>
      <c r="E12" s="34" t="s">
        <v>32</v>
      </c>
      <c r="F12" s="35" t="n">
        <v>65</v>
      </c>
      <c r="G12" s="34" t="n">
        <v>3857.42</v>
      </c>
      <c r="H12" s="34" t="n">
        <v>3</v>
      </c>
      <c r="I12" s="34" t="n">
        <v>111</v>
      </c>
      <c r="J12" s="34" t="n">
        <v>1</v>
      </c>
      <c r="K12" s="34" t="n">
        <v>5</v>
      </c>
      <c r="L12" s="41" t="n">
        <v>63</v>
      </c>
      <c r="M12" s="42" t="s">
        <v>106</v>
      </c>
      <c r="N12" s="8"/>
      <c r="O12" s="8"/>
      <c r="P12" s="8"/>
      <c r="Q12" s="8"/>
    </row>
    <row r="13" customFormat="false" ht="21.75" hidden="false" customHeight="true" outlineLevel="0" collapsed="false">
      <c r="A13" s="8"/>
      <c r="B13" s="38" t="n">
        <v>8</v>
      </c>
      <c r="C13" s="38" t="s">
        <v>57</v>
      </c>
      <c r="D13" s="38" t="s">
        <v>58</v>
      </c>
      <c r="E13" s="38" t="s">
        <v>37</v>
      </c>
      <c r="F13" s="39" t="n">
        <v>20</v>
      </c>
      <c r="G13" s="38" t="n">
        <v>1994.79</v>
      </c>
      <c r="H13" s="38" t="n">
        <v>5</v>
      </c>
      <c r="I13" s="38" t="n">
        <v>69</v>
      </c>
      <c r="J13" s="38" t="n">
        <v>-3</v>
      </c>
      <c r="K13" s="38" t="n">
        <v>4</v>
      </c>
      <c r="L13" s="43" t="n">
        <v>63</v>
      </c>
      <c r="M13" s="42" t="s">
        <v>106</v>
      </c>
      <c r="N13" s="8"/>
      <c r="O13" s="8"/>
      <c r="P13" s="8"/>
      <c r="Q13" s="8"/>
    </row>
    <row r="14" customFormat="false" ht="21.75" hidden="false" customHeight="true" outlineLevel="0" collapsed="false">
      <c r="A14" s="8"/>
      <c r="B14" s="34" t="n">
        <v>9</v>
      </c>
      <c r="C14" s="34" t="s">
        <v>49</v>
      </c>
      <c r="D14" s="34" t="s">
        <v>50</v>
      </c>
      <c r="E14" s="34" t="s">
        <v>14</v>
      </c>
      <c r="F14" s="35" t="n">
        <v>20</v>
      </c>
      <c r="G14" s="34" t="n">
        <v>3211.74</v>
      </c>
      <c r="H14" s="34" t="n">
        <v>13</v>
      </c>
      <c r="I14" s="34" t="n">
        <v>76</v>
      </c>
      <c r="J14" s="34" t="n">
        <v>3</v>
      </c>
      <c r="K14" s="34" t="n">
        <v>3</v>
      </c>
      <c r="L14" s="41" t="n">
        <v>61</v>
      </c>
      <c r="M14" s="42" t="s">
        <v>106</v>
      </c>
      <c r="N14" s="8"/>
      <c r="O14" s="8"/>
      <c r="P14" s="8"/>
      <c r="Q14" s="8"/>
    </row>
    <row r="15" customFormat="false" ht="21.75" hidden="false" customHeight="true" outlineLevel="0" collapsed="false">
      <c r="A15" s="8"/>
      <c r="B15" s="38" t="n">
        <v>10</v>
      </c>
      <c r="C15" s="38" t="s">
        <v>25</v>
      </c>
      <c r="D15" s="38" t="s">
        <v>26</v>
      </c>
      <c r="E15" s="38" t="s">
        <v>14</v>
      </c>
      <c r="F15" s="39" t="n">
        <v>12</v>
      </c>
      <c r="G15" s="38" t="n">
        <v>2023.65</v>
      </c>
      <c r="H15" s="38" t="n">
        <v>11</v>
      </c>
      <c r="I15" s="38" t="n">
        <v>108</v>
      </c>
      <c r="J15" s="38" t="n">
        <v>6</v>
      </c>
      <c r="K15" s="38" t="n">
        <v>2</v>
      </c>
      <c r="L15" s="43" t="n">
        <v>60</v>
      </c>
      <c r="M15" s="42" t="s">
        <v>106</v>
      </c>
      <c r="N15" s="8"/>
      <c r="O15" s="8"/>
      <c r="P15" s="8"/>
      <c r="Q15" s="8"/>
    </row>
    <row r="16" customFormat="false" ht="21.75" hidden="false" customHeight="true" outlineLevel="0" collapsed="false">
      <c r="A16" s="8"/>
      <c r="B16" s="34" t="n">
        <v>11</v>
      </c>
      <c r="C16" s="34" t="s">
        <v>80</v>
      </c>
      <c r="D16" s="34" t="s">
        <v>81</v>
      </c>
      <c r="E16" s="34" t="s">
        <v>14</v>
      </c>
      <c r="F16" s="35" t="n">
        <v>8</v>
      </c>
      <c r="G16" s="34" t="n">
        <v>2132.58</v>
      </c>
      <c r="H16" s="34" t="n">
        <v>10</v>
      </c>
      <c r="I16" s="34" t="n">
        <v>102</v>
      </c>
      <c r="J16" s="34" t="n">
        <v>0</v>
      </c>
      <c r="K16" s="34" t="n">
        <v>1</v>
      </c>
      <c r="L16" s="41" t="n">
        <v>60</v>
      </c>
      <c r="M16" s="42" t="s">
        <v>106</v>
      </c>
      <c r="N16" s="8"/>
      <c r="O16" s="8"/>
      <c r="P16" s="8"/>
      <c r="Q16" s="8"/>
    </row>
    <row r="17" customFormat="false" ht="21.75" hidden="false" customHeight="true" outlineLevel="0" collapsed="false">
      <c r="A17" s="8"/>
      <c r="B17" s="38" t="n">
        <v>12</v>
      </c>
      <c r="C17" s="38" t="s">
        <v>51</v>
      </c>
      <c r="D17" s="38" t="s">
        <v>52</v>
      </c>
      <c r="E17" s="38" t="s">
        <v>44</v>
      </c>
      <c r="F17" s="39" t="n">
        <v>68</v>
      </c>
      <c r="G17" s="38" t="n">
        <v>1406.79</v>
      </c>
      <c r="H17" s="38" t="n">
        <v>0</v>
      </c>
      <c r="I17" s="38" t="n">
        <v>87</v>
      </c>
      <c r="J17" s="38" t="n">
        <v>-2</v>
      </c>
      <c r="K17" s="38" t="n">
        <v>5</v>
      </c>
      <c r="L17" s="43" t="n">
        <v>57</v>
      </c>
      <c r="M17" s="42" t="s">
        <v>106</v>
      </c>
      <c r="N17" s="8"/>
      <c r="O17" s="8"/>
      <c r="P17" s="8"/>
      <c r="Q17" s="8"/>
    </row>
    <row r="18" customFormat="false" ht="21.75" hidden="false" customHeight="true" outlineLevel="0" collapsed="false">
      <c r="A18" s="8"/>
      <c r="B18" s="34" t="n">
        <v>13</v>
      </c>
      <c r="C18" s="34" t="s">
        <v>38</v>
      </c>
      <c r="D18" s="34" t="s">
        <v>39</v>
      </c>
      <c r="E18" s="34" t="s">
        <v>37</v>
      </c>
      <c r="F18" s="35" t="n">
        <v>69</v>
      </c>
      <c r="G18" s="34" t="n">
        <v>3699.81</v>
      </c>
      <c r="H18" s="34" t="n">
        <v>5</v>
      </c>
      <c r="I18" s="34" t="n">
        <v>59</v>
      </c>
      <c r="J18" s="34" t="n">
        <v>1</v>
      </c>
      <c r="K18" s="34" t="n">
        <v>5</v>
      </c>
      <c r="L18" s="41" t="n">
        <v>52</v>
      </c>
      <c r="M18" s="42" t="s">
        <v>106</v>
      </c>
      <c r="N18" s="8"/>
      <c r="O18" s="8"/>
      <c r="P18" s="8"/>
      <c r="Q18" s="8"/>
    </row>
    <row r="19" customFormat="false" ht="21.75" hidden="false" customHeight="true" outlineLevel="0" collapsed="false">
      <c r="A19" s="8"/>
      <c r="B19" s="38" t="n">
        <v>14</v>
      </c>
      <c r="C19" s="38" t="s">
        <v>27</v>
      </c>
      <c r="D19" s="38" t="s">
        <v>28</v>
      </c>
      <c r="E19" s="38" t="s">
        <v>14</v>
      </c>
      <c r="F19" s="39" t="n">
        <v>59</v>
      </c>
      <c r="G19" s="38" t="n">
        <v>2773.89</v>
      </c>
      <c r="H19" s="38" t="n">
        <v>12</v>
      </c>
      <c r="I19" s="38" t="n">
        <v>10</v>
      </c>
      <c r="J19" s="38" t="n">
        <v>1</v>
      </c>
      <c r="K19" s="38" t="n">
        <v>5</v>
      </c>
      <c r="L19" s="43" t="n">
        <v>51</v>
      </c>
      <c r="M19" s="42" t="s">
        <v>106</v>
      </c>
      <c r="N19" s="8"/>
      <c r="O19" s="8"/>
      <c r="P19" s="8"/>
      <c r="Q19" s="8"/>
    </row>
    <row r="20" customFormat="false" ht="21.75" hidden="false" customHeight="true" outlineLevel="0" collapsed="false">
      <c r="A20" s="8"/>
      <c r="B20" s="34" t="n">
        <v>15</v>
      </c>
      <c r="C20" s="34" t="s">
        <v>59</v>
      </c>
      <c r="D20" s="34" t="s">
        <v>60</v>
      </c>
      <c r="E20" s="34" t="s">
        <v>32</v>
      </c>
      <c r="F20" s="35" t="n">
        <v>63</v>
      </c>
      <c r="G20" s="34" t="n">
        <v>293.49</v>
      </c>
      <c r="H20" s="34" t="n">
        <v>11</v>
      </c>
      <c r="I20" s="34" t="n">
        <v>112</v>
      </c>
      <c r="J20" s="34" t="n">
        <v>0</v>
      </c>
      <c r="K20" s="34" t="n">
        <v>0</v>
      </c>
      <c r="L20" s="41" t="n">
        <v>51</v>
      </c>
      <c r="M20" s="42" t="s">
        <v>106</v>
      </c>
      <c r="N20" s="8"/>
      <c r="O20" s="8"/>
      <c r="P20" s="8"/>
      <c r="Q20" s="8"/>
    </row>
    <row r="21" customFormat="false" ht="21.75" hidden="false" customHeight="true" outlineLevel="0" collapsed="false">
      <c r="A21" s="8"/>
      <c r="B21" s="38" t="n">
        <v>16</v>
      </c>
      <c r="C21" s="38" t="s">
        <v>45</v>
      </c>
      <c r="D21" s="38" t="s">
        <v>46</v>
      </c>
      <c r="E21" s="38" t="s">
        <v>44</v>
      </c>
      <c r="F21" s="39" t="n">
        <v>19</v>
      </c>
      <c r="G21" s="38" t="n">
        <v>1471.42</v>
      </c>
      <c r="H21" s="38" t="n">
        <v>7</v>
      </c>
      <c r="I21" s="38" t="n">
        <v>95</v>
      </c>
      <c r="J21" s="38" t="n">
        <v>5</v>
      </c>
      <c r="K21" s="38" t="n">
        <v>2</v>
      </c>
      <c r="L21" s="43" t="n">
        <v>50</v>
      </c>
      <c r="M21" s="42" t="s">
        <v>106</v>
      </c>
      <c r="N21" s="8"/>
      <c r="O21" s="8"/>
      <c r="P21" s="8"/>
      <c r="Q21" s="8"/>
    </row>
    <row r="22" customFormat="false" ht="21.75" hidden="false" customHeight="true" outlineLevel="0" collapsed="false">
      <c r="A22" s="8"/>
      <c r="B22" s="34" t="n">
        <v>17</v>
      </c>
      <c r="C22" s="34" t="s">
        <v>74</v>
      </c>
      <c r="D22" s="34" t="s">
        <v>75</v>
      </c>
      <c r="E22" s="34" t="s">
        <v>37</v>
      </c>
      <c r="F22" s="35" t="n">
        <v>36</v>
      </c>
      <c r="G22" s="34" t="n">
        <v>3411.09</v>
      </c>
      <c r="H22" s="34" t="n">
        <v>6</v>
      </c>
      <c r="I22" s="34" t="n">
        <v>69</v>
      </c>
      <c r="J22" s="34" t="n">
        <v>8</v>
      </c>
      <c r="K22" s="34" t="n">
        <v>4</v>
      </c>
      <c r="L22" s="41" t="n">
        <v>50</v>
      </c>
      <c r="M22" s="42" t="s">
        <v>106</v>
      </c>
      <c r="N22" s="8"/>
      <c r="O22" s="8"/>
      <c r="P22" s="8"/>
      <c r="Q22" s="8"/>
    </row>
    <row r="23" customFormat="false" ht="21.75" hidden="false" customHeight="true" outlineLevel="0" collapsed="false">
      <c r="A23" s="8"/>
      <c r="B23" s="38" t="n">
        <v>18</v>
      </c>
      <c r="C23" s="38" t="s">
        <v>70</v>
      </c>
      <c r="D23" s="38" t="s">
        <v>71</v>
      </c>
      <c r="E23" s="38" t="s">
        <v>32</v>
      </c>
      <c r="F23" s="39" t="n">
        <v>3</v>
      </c>
      <c r="G23" s="38" t="n">
        <v>3023.88</v>
      </c>
      <c r="H23" s="38" t="n">
        <v>7</v>
      </c>
      <c r="I23" s="38" t="n">
        <v>75</v>
      </c>
      <c r="J23" s="38" t="n">
        <v>-3</v>
      </c>
      <c r="K23" s="38" t="n">
        <v>0</v>
      </c>
      <c r="L23" s="43" t="n">
        <v>49</v>
      </c>
      <c r="M23" s="42" t="s">
        <v>106</v>
      </c>
      <c r="N23" s="8"/>
      <c r="O23" s="8"/>
      <c r="P23" s="8"/>
      <c r="Q23" s="8"/>
    </row>
    <row r="24" customFormat="false" ht="21.75" hidden="false" customHeight="true" outlineLevel="0" collapsed="false">
      <c r="A24" s="8"/>
      <c r="B24" s="34" t="n">
        <v>19</v>
      </c>
      <c r="C24" s="34" t="s">
        <v>22</v>
      </c>
      <c r="D24" s="34" t="s">
        <v>23</v>
      </c>
      <c r="E24" s="34" t="s">
        <v>14</v>
      </c>
      <c r="F24" s="35" t="n">
        <v>21</v>
      </c>
      <c r="G24" s="34" t="n">
        <v>3551.07</v>
      </c>
      <c r="H24" s="34" t="n">
        <v>10</v>
      </c>
      <c r="I24" s="34" t="n">
        <v>35</v>
      </c>
      <c r="J24" s="34" t="n">
        <v>0</v>
      </c>
      <c r="K24" s="34" t="n">
        <v>2</v>
      </c>
      <c r="L24" s="41" t="n">
        <v>46</v>
      </c>
      <c r="M24" s="42" t="s">
        <v>106</v>
      </c>
      <c r="N24" s="8"/>
      <c r="O24" s="8"/>
      <c r="P24" s="8"/>
      <c r="Q24" s="8"/>
    </row>
    <row r="25" customFormat="false" ht="21.75" hidden="false" customHeight="true" outlineLevel="0" collapsed="false">
      <c r="A25" s="8"/>
      <c r="B25" s="38" t="n">
        <v>20</v>
      </c>
      <c r="C25" s="38" t="s">
        <v>64</v>
      </c>
      <c r="D25" s="38" t="s">
        <v>65</v>
      </c>
      <c r="E25" s="38" t="s">
        <v>37</v>
      </c>
      <c r="F25" s="39" t="n">
        <v>17</v>
      </c>
      <c r="G25" s="38" t="n">
        <v>3366.8</v>
      </c>
      <c r="H25" s="38" t="n">
        <v>5</v>
      </c>
      <c r="I25" s="38" t="n">
        <v>33</v>
      </c>
      <c r="J25" s="38" t="n">
        <v>10</v>
      </c>
      <c r="K25" s="38" t="n">
        <v>4</v>
      </c>
      <c r="L25" s="43" t="n">
        <v>42</v>
      </c>
      <c r="M25" s="42" t="s">
        <v>106</v>
      </c>
      <c r="N25" s="8"/>
      <c r="O25" s="8"/>
      <c r="P25" s="8"/>
      <c r="Q25" s="8"/>
    </row>
    <row r="26" customFormat="false" ht="21.75" hidden="false" customHeight="true" outlineLevel="0" collapsed="false">
      <c r="A26" s="8"/>
      <c r="B26" s="34" t="n">
        <v>21</v>
      </c>
      <c r="C26" s="34" t="s">
        <v>42</v>
      </c>
      <c r="D26" s="34" t="s">
        <v>43</v>
      </c>
      <c r="E26" s="34" t="s">
        <v>44</v>
      </c>
      <c r="F26" s="35" t="n">
        <v>35</v>
      </c>
      <c r="G26" s="34" t="n">
        <v>517.71</v>
      </c>
      <c r="H26" s="34" t="n">
        <v>10</v>
      </c>
      <c r="I26" s="34" t="n">
        <v>27</v>
      </c>
      <c r="J26" s="34" t="n">
        <v>4</v>
      </c>
      <c r="K26" s="34" t="n">
        <v>3</v>
      </c>
      <c r="L26" s="41" t="n">
        <v>41</v>
      </c>
      <c r="M26" s="42" t="s">
        <v>106</v>
      </c>
      <c r="N26" s="8"/>
      <c r="O26" s="8"/>
      <c r="P26" s="8"/>
      <c r="Q26" s="8"/>
    </row>
    <row r="27" customFormat="false" ht="21.75" hidden="false" customHeight="true" outlineLevel="0" collapsed="false">
      <c r="A27" s="8"/>
      <c r="B27" s="38" t="n">
        <v>22</v>
      </c>
      <c r="C27" s="38" t="s">
        <v>33</v>
      </c>
      <c r="D27" s="38" t="s">
        <v>34</v>
      </c>
      <c r="E27" s="38" t="s">
        <v>14</v>
      </c>
      <c r="F27" s="39" t="n">
        <v>30</v>
      </c>
      <c r="G27" s="38" t="n">
        <v>4359.12</v>
      </c>
      <c r="H27" s="38" t="n">
        <v>12</v>
      </c>
      <c r="I27" s="38" t="n">
        <v>35</v>
      </c>
      <c r="J27" s="38" t="n">
        <v>7</v>
      </c>
      <c r="K27" s="38" t="n">
        <v>2</v>
      </c>
      <c r="L27" s="43" t="n">
        <v>40</v>
      </c>
      <c r="M27" s="42" t="s">
        <v>106</v>
      </c>
      <c r="N27" s="8"/>
      <c r="O27" s="8"/>
      <c r="P27" s="8"/>
      <c r="Q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customFormat="false" ht="1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customFormat="false" ht="1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customFormat="false" ht="1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S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10" min="9" style="1" width="18"/>
  </cols>
  <sheetData>
    <row r="1" customFormat="false" ht="15" hidden="false" customHeight="tru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37.5" hidden="false" customHeight="true" outlineLevel="0" collapsed="false">
      <c r="A2" s="8"/>
      <c r="B2" s="44" t="s">
        <v>107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8"/>
      <c r="P2" s="8"/>
      <c r="Q2" s="8"/>
      <c r="R2" s="8"/>
      <c r="S2" s="8"/>
    </row>
    <row r="3" customFormat="false" ht="15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15" hidden="false" customHeight="tru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customFormat="false" ht="30" hidden="false" customHeight="true" outlineLevel="0" collapsed="false">
      <c r="A5" s="8"/>
      <c r="B5" s="2" t="s">
        <v>108</v>
      </c>
      <c r="C5" s="2" t="s">
        <v>109</v>
      </c>
      <c r="D5" s="2" t="s">
        <v>110</v>
      </c>
      <c r="E5" s="2" t="s">
        <v>63</v>
      </c>
      <c r="F5" s="2" t="s">
        <v>16</v>
      </c>
      <c r="G5" s="2" t="s">
        <v>111</v>
      </c>
      <c r="H5" s="2" t="s">
        <v>112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21.75" hidden="false" customHeight="true" outlineLevel="0" collapsed="false">
      <c r="A6" s="8"/>
      <c r="B6" s="27" t="s">
        <v>113</v>
      </c>
      <c r="C6" s="31" t="n">
        <v>120</v>
      </c>
      <c r="D6" s="31" t="n">
        <v>11</v>
      </c>
      <c r="E6" s="31" t="n">
        <v>8</v>
      </c>
      <c r="F6" s="31" t="n">
        <v>112</v>
      </c>
      <c r="G6" s="32" t="n">
        <f aca="false">E6/C6</f>
        <v>0.0666666666666667</v>
      </c>
      <c r="H6" s="45" t="n">
        <f aca="false">F6/C6</f>
        <v>0.933333333333333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21.75" hidden="false" customHeight="true" outlineLevel="0" collapsed="false">
      <c r="A7" s="8"/>
      <c r="B7" s="46" t="s">
        <v>114</v>
      </c>
      <c r="C7" s="47" t="n">
        <v>123</v>
      </c>
      <c r="D7" s="47" t="n">
        <v>10</v>
      </c>
      <c r="E7" s="47" t="n">
        <v>7</v>
      </c>
      <c r="F7" s="47" t="n">
        <v>116</v>
      </c>
      <c r="G7" s="48" t="n">
        <f aca="false">E7/C7</f>
        <v>0.0569105691056911</v>
      </c>
      <c r="H7" s="49" t="n">
        <f aca="false">F7/C7</f>
        <v>0.943089430894309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21.75" hidden="false" customHeight="true" outlineLevel="0" collapsed="false">
      <c r="A8" s="8"/>
      <c r="B8" s="27" t="s">
        <v>115</v>
      </c>
      <c r="C8" s="31" t="n">
        <v>127</v>
      </c>
      <c r="D8" s="31" t="n">
        <v>13</v>
      </c>
      <c r="E8" s="31" t="n">
        <v>9</v>
      </c>
      <c r="F8" s="31" t="n">
        <v>118</v>
      </c>
      <c r="G8" s="32" t="n">
        <f aca="false">E8/C8</f>
        <v>0.0708661417322835</v>
      </c>
      <c r="H8" s="45" t="n">
        <f aca="false">F8/C8</f>
        <v>0.929133858267717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21.75" hidden="false" customHeight="true" outlineLevel="0" collapsed="false">
      <c r="A9" s="8"/>
      <c r="B9" s="46" t="s">
        <v>116</v>
      </c>
      <c r="C9" s="47" t="n">
        <v>130</v>
      </c>
      <c r="D9" s="47" t="n">
        <v>12</v>
      </c>
      <c r="E9" s="47" t="n">
        <v>11</v>
      </c>
      <c r="F9" s="47" t="n">
        <v>119</v>
      </c>
      <c r="G9" s="48" t="n">
        <f aca="false">E9/C9</f>
        <v>0.0846153846153846</v>
      </c>
      <c r="H9" s="49" t="n">
        <f aca="false">F9/C9</f>
        <v>0.915384615384615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Format="false" ht="21.75" hidden="false" customHeight="true" outlineLevel="0" collapsed="false">
      <c r="A10" s="8"/>
      <c r="B10" s="27" t="s">
        <v>117</v>
      </c>
      <c r="C10" s="31" t="n">
        <v>135</v>
      </c>
      <c r="D10" s="31" t="n">
        <v>13</v>
      </c>
      <c r="E10" s="31" t="n">
        <v>10</v>
      </c>
      <c r="F10" s="31" t="n">
        <v>125</v>
      </c>
      <c r="G10" s="32" t="n">
        <f aca="false">E10/C10</f>
        <v>0.0740740740740741</v>
      </c>
      <c r="H10" s="45" t="n">
        <f aca="false">F10/C10</f>
        <v>0.925925925925926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21.75" hidden="false" customHeight="true" outlineLevel="0" collapsed="false">
      <c r="A11" s="8"/>
      <c r="B11" s="46" t="s">
        <v>118</v>
      </c>
      <c r="C11" s="47" t="n">
        <v>138</v>
      </c>
      <c r="D11" s="47" t="n">
        <v>11</v>
      </c>
      <c r="E11" s="47" t="n">
        <v>8</v>
      </c>
      <c r="F11" s="47" t="n">
        <v>130</v>
      </c>
      <c r="G11" s="48" t="n">
        <f aca="false">E11/C11</f>
        <v>0.0579710144927536</v>
      </c>
      <c r="H11" s="49" t="n">
        <f aca="false">F11/C11</f>
        <v>0.942028985507246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1.75" hidden="false" customHeight="true" outlineLevel="0" collapsed="false">
      <c r="A12" s="8"/>
      <c r="B12" s="27" t="s">
        <v>119</v>
      </c>
      <c r="C12" s="31" t="n">
        <v>140</v>
      </c>
      <c r="D12" s="31" t="n">
        <v>14</v>
      </c>
      <c r="E12" s="31" t="n">
        <v>12</v>
      </c>
      <c r="F12" s="31" t="n">
        <v>128</v>
      </c>
      <c r="G12" s="32" t="n">
        <f aca="false">E12/C12</f>
        <v>0.0857142857142857</v>
      </c>
      <c r="H12" s="45" t="n">
        <f aca="false">F12/C12</f>
        <v>0.914285714285714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customFormat="false" ht="21.75" hidden="false" customHeight="true" outlineLevel="0" collapsed="false">
      <c r="A13" s="8"/>
      <c r="B13" s="46" t="s">
        <v>120</v>
      </c>
      <c r="C13" s="47" t="n">
        <v>142</v>
      </c>
      <c r="D13" s="47" t="n">
        <v>11</v>
      </c>
      <c r="E13" s="47" t="n">
        <v>9</v>
      </c>
      <c r="F13" s="47" t="n">
        <v>133</v>
      </c>
      <c r="G13" s="48" t="n">
        <f aca="false">E13/C13</f>
        <v>0.0633802816901408</v>
      </c>
      <c r="H13" s="49" t="n">
        <f aca="false">F13/C13</f>
        <v>0.936619718309859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1.75" hidden="false" customHeight="true" outlineLevel="0" collapsed="false">
      <c r="A14" s="8"/>
      <c r="B14" s="27" t="s">
        <v>121</v>
      </c>
      <c r="C14" s="31" t="n">
        <v>145</v>
      </c>
      <c r="D14" s="31" t="n">
        <v>13</v>
      </c>
      <c r="E14" s="31" t="n">
        <v>10</v>
      </c>
      <c r="F14" s="31" t="n">
        <v>135</v>
      </c>
      <c r="G14" s="32" t="n">
        <f aca="false">E14/C14</f>
        <v>0.0689655172413793</v>
      </c>
      <c r="H14" s="45" t="n">
        <f aca="false">F14/C14</f>
        <v>0.931034482758621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1.75" hidden="false" customHeight="true" outlineLevel="0" collapsed="false">
      <c r="A15" s="8"/>
      <c r="B15" s="46" t="s">
        <v>122</v>
      </c>
      <c r="C15" s="47" t="n">
        <v>148</v>
      </c>
      <c r="D15" s="47" t="n">
        <v>14</v>
      </c>
      <c r="E15" s="47" t="n">
        <v>11</v>
      </c>
      <c r="F15" s="47" t="n">
        <v>137</v>
      </c>
      <c r="G15" s="48" t="n">
        <f aca="false">E15/C15</f>
        <v>0.0743243243243243</v>
      </c>
      <c r="H15" s="49" t="n">
        <f aca="false">F15/C15</f>
        <v>0.925675675675676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1.75" hidden="false" customHeight="true" outlineLevel="0" collapsed="false">
      <c r="A16" s="8"/>
      <c r="B16" s="27" t="s">
        <v>123</v>
      </c>
      <c r="C16" s="31" t="n">
        <v>150</v>
      </c>
      <c r="D16" s="31" t="n">
        <v>10</v>
      </c>
      <c r="E16" s="31" t="n">
        <v>8</v>
      </c>
      <c r="F16" s="31" t="n">
        <v>142</v>
      </c>
      <c r="G16" s="32" t="n">
        <f aca="false">E16/C16</f>
        <v>0.0533333333333333</v>
      </c>
      <c r="H16" s="45" t="n">
        <f aca="false">F16/C16</f>
        <v>0.946666666666667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21.75" hidden="false" customHeight="true" outlineLevel="0" collapsed="false">
      <c r="A17" s="8"/>
      <c r="B17" s="46" t="s">
        <v>124</v>
      </c>
      <c r="C17" s="47" t="n">
        <v>153</v>
      </c>
      <c r="D17" s="47" t="n">
        <v>12</v>
      </c>
      <c r="E17" s="47" t="n">
        <v>9</v>
      </c>
      <c r="F17" s="47" t="n">
        <v>144</v>
      </c>
      <c r="G17" s="48" t="n">
        <f aca="false">E17/C17</f>
        <v>0.0588235294117647</v>
      </c>
      <c r="H17" s="49" t="n">
        <f aca="false">F17/C17</f>
        <v>0.941176470588235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1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customFormat="false" ht="1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customFormat="false" ht="1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customFormat="false" ht="1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customFormat="false" ht="1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customFormat="false" ht="1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customFormat="false" ht="1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customFormat="false" ht="1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customFormat="false" ht="1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customFormat="false" ht="1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customFormat="false" ht="1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customFormat="false" ht="1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customFormat="false" ht="15" hidden="false" customHeight="tru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customFormat="false" ht="15" hidden="false" customHeight="tru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customFormat="false" ht="15" hidden="false" customHeight="tru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S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1" width="22"/>
  </cols>
  <sheetData>
    <row r="1" customFormat="false" ht="15" hidden="false" customHeight="true" outlineLevel="0" collapsed="false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37.5" hidden="false" customHeight="true" outlineLevel="0" collapsed="false">
      <c r="A2" s="8"/>
      <c r="B2" s="44" t="s">
        <v>125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8"/>
      <c r="P2" s="8"/>
      <c r="Q2" s="8"/>
      <c r="R2" s="8"/>
      <c r="S2" s="8"/>
    </row>
    <row r="3" customFormat="false" ht="15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customFormat="false" ht="25.5" hidden="false" customHeight="true" outlineLevel="0" collapsed="false">
      <c r="A4" s="8"/>
      <c r="B4" s="11" t="s">
        <v>126</v>
      </c>
      <c r="C4" s="11"/>
      <c r="D4" s="11"/>
      <c r="E4" s="11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</row>
    <row r="5" customFormat="false" ht="27.75" hidden="false" customHeight="true" outlineLevel="0" collapsed="false">
      <c r="A5" s="8"/>
      <c r="B5" s="2" t="s">
        <v>2</v>
      </c>
      <c r="C5" s="2" t="s">
        <v>127</v>
      </c>
      <c r="D5" s="2" t="s">
        <v>128</v>
      </c>
      <c r="E5" s="2" t="s">
        <v>129</v>
      </c>
      <c r="F5" s="2" t="s">
        <v>130</v>
      </c>
      <c r="G5" s="2" t="s">
        <v>131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21.75" hidden="false" customHeight="true" outlineLevel="0" collapsed="false">
      <c r="A6" s="8"/>
      <c r="B6" s="27" t="s">
        <v>14</v>
      </c>
      <c r="C6" s="28" t="n">
        <f aca="false">COUNTIFS('Customer Data'!C2:C31,"Enterprise",'Customer Data'!K2:K31,"&gt;="&amp;70)</f>
        <v>0</v>
      </c>
      <c r="D6" s="50" t="n">
        <f aca="false">COUNTIFS('Customer Data'!C2:C31,"Enterprise",'Customer Data'!K2:K31,"&gt;="&amp;40,'Customer Data'!K2:K31,"&lt;"&amp;70)</f>
        <v>7</v>
      </c>
      <c r="E6" s="51" t="n">
        <f aca="false">COUNTIFS('Customer Data'!C2:C31,"Enterprise",'Customer Data'!K2:K31,"&lt;"&amp;40)</f>
        <v>3</v>
      </c>
      <c r="F6" s="52" t="n">
        <f aca="false">AVERAGEIF('Customer Data'!C2:C31,"Enterprise",'Customer Data'!E2:E31)</f>
        <v>2384.199</v>
      </c>
      <c r="G6" s="31" t="n">
        <f aca="false">AVERAGEIF('Customer Data'!C2:C31,"Enterprise",'Customer Data'!I2:I31)</f>
        <v>3.4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customFormat="false" ht="21.75" hidden="false" customHeight="true" outlineLevel="0" collapsed="false">
      <c r="A7" s="8"/>
      <c r="B7" s="46" t="s">
        <v>37</v>
      </c>
      <c r="C7" s="53" t="n">
        <f aca="false">COUNTIFS('Customer Data'!C2:C31,"SMB",'Customer Data'!K2:K31,"&gt;="&amp;70)</f>
        <v>1</v>
      </c>
      <c r="D7" s="54" t="n">
        <f aca="false">COUNTIFS('Customer Data'!C2:C31,"SMB",'Customer Data'!K2:K31,"&gt;="&amp;40,'Customer Data'!K2:K31,"&lt;"&amp;70)</f>
        <v>4</v>
      </c>
      <c r="E7" s="55" t="n">
        <f aca="false">COUNTIFS('Customer Data'!C2:C31,"SMB",'Customer Data'!K2:K31,"&lt;"&amp;40)</f>
        <v>2</v>
      </c>
      <c r="F7" s="56" t="n">
        <f aca="false">AVERAGEIF('Customer Data'!C2:C31,"SMB",'Customer Data'!E2:E31)</f>
        <v>2747.80285714286</v>
      </c>
      <c r="G7" s="47" t="n">
        <f aca="false">AVERAGEIF('Customer Data'!C2:C31,"SMB",'Customer Data'!I2:I31)</f>
        <v>5.85714285714286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customFormat="false" ht="21.75" hidden="false" customHeight="true" outlineLevel="0" collapsed="false">
      <c r="A8" s="8"/>
      <c r="B8" s="27" t="s">
        <v>32</v>
      </c>
      <c r="C8" s="28" t="n">
        <f aca="false">COUNTIFS('Customer Data'!C2:C31,"Startup",'Customer Data'!K2:K31,"&gt;="&amp;70)</f>
        <v>0</v>
      </c>
      <c r="D8" s="50" t="n">
        <f aca="false">COUNTIFS('Customer Data'!C2:C31,"Startup",'Customer Data'!K2:K31,"&gt;="&amp;40,'Customer Data'!K2:K31,"&lt;"&amp;70)</f>
        <v>4</v>
      </c>
      <c r="E8" s="51" t="n">
        <f aca="false">COUNTIFS('Customer Data'!C2:C31,"Startup",'Customer Data'!K2:K31,"&lt;"&amp;40)</f>
        <v>2</v>
      </c>
      <c r="F8" s="52" t="n">
        <f aca="false">AVERAGEIF('Customer Data'!C2:C31,"Startup",'Customer Data'!E2:E31)</f>
        <v>2668.38833333333</v>
      </c>
      <c r="G8" s="31" t="n">
        <f aca="false">AVERAGEIF('Customer Data'!C2:C31,"Startup",'Customer Data'!I2:I31)</f>
        <v>0.666666666666667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customFormat="false" ht="21.75" hidden="false" customHeight="true" outlineLevel="0" collapsed="false">
      <c r="A9" s="8"/>
      <c r="B9" s="46" t="s">
        <v>44</v>
      </c>
      <c r="C9" s="53" t="n">
        <f aca="false">COUNTIFS('Customer Data'!C2:C31,"Consumer",'Customer Data'!K2:K31,"&gt;="&amp;70)</f>
        <v>1</v>
      </c>
      <c r="D9" s="54" t="n">
        <f aca="false">COUNTIFS('Customer Data'!C2:C31,"Consumer",'Customer Data'!K2:K31,"&gt;="&amp;40,'Customer Data'!K2:K31,"&lt;"&amp;70)</f>
        <v>5</v>
      </c>
      <c r="E9" s="55" t="n">
        <f aca="false">COUNTIFS('Customer Data'!C2:C31,"Consumer",'Customer Data'!K2:K31,"&lt;"&amp;40)</f>
        <v>1</v>
      </c>
      <c r="F9" s="56" t="n">
        <f aca="false">AVERAGEIF('Customer Data'!C2:C31,"Consumer",'Customer Data'!E2:E31)</f>
        <v>2313.09</v>
      </c>
      <c r="G9" s="47" t="n">
        <f aca="false">AVERAGEIF('Customer Data'!C2:C31,"Consumer",'Customer Data'!I2:I31)</f>
        <v>0.428571428571429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customFormat="false" ht="1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customFormat="false" ht="15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customFormat="false" ht="25.5" hidden="false" customHeight="true" outlineLevel="0" collapsed="false">
      <c r="A12" s="8"/>
      <c r="B12" s="11" t="s">
        <v>132</v>
      </c>
      <c r="C12" s="11"/>
      <c r="D12" s="11"/>
      <c r="E12" s="11"/>
      <c r="F12" s="11"/>
      <c r="G12" s="11"/>
      <c r="H12" s="11"/>
      <c r="I12" s="11"/>
      <c r="J12" s="11"/>
      <c r="K12" s="11"/>
      <c r="L12" s="8"/>
      <c r="M12" s="8"/>
      <c r="N12" s="8"/>
      <c r="O12" s="8"/>
      <c r="P12" s="8"/>
      <c r="Q12" s="8"/>
      <c r="R12" s="8"/>
      <c r="S12" s="8"/>
    </row>
    <row r="13" customFormat="false" ht="27.75" hidden="false" customHeight="true" outlineLevel="0" collapsed="false">
      <c r="A13" s="8"/>
      <c r="B13" s="2" t="s">
        <v>7</v>
      </c>
      <c r="C13" s="2" t="s">
        <v>127</v>
      </c>
      <c r="D13" s="2" t="s">
        <v>128</v>
      </c>
      <c r="E13" s="2" t="s">
        <v>129</v>
      </c>
      <c r="F13" s="2" t="s">
        <v>130</v>
      </c>
      <c r="G13" s="2" t="s">
        <v>131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customFormat="false" ht="21.75" hidden="false" customHeight="true" outlineLevel="0" collapsed="false">
      <c r="A14" s="8"/>
      <c r="B14" s="27" t="s">
        <v>15</v>
      </c>
      <c r="C14" s="28" t="n">
        <f aca="false">COUNTIFS('Customer Data'!H2:H31,"Annual",'Customer Data'!K2:K31,"&gt;="&amp;70)</f>
        <v>1</v>
      </c>
      <c r="D14" s="50" t="n">
        <f aca="false">COUNTIFS('Customer Data'!H2:H31,"Annual",'Customer Data'!K2:K31,"&gt;="&amp;40,'Customer Data'!K2:K31,"&lt;"&amp;70)</f>
        <v>6</v>
      </c>
      <c r="E14" s="51" t="n">
        <f aca="false">COUNTIFS('Customer Data'!H2:H31,"Annual",'Customer Data'!K2:K31,"&lt;"&amp;40)</f>
        <v>5</v>
      </c>
      <c r="F14" s="52" t="n">
        <f aca="false">AVERAGEIF('Customer Data'!H2:H31,"Annual",'Customer Data'!E2:E31)</f>
        <v>3030.45416666667</v>
      </c>
      <c r="G14" s="31" t="n">
        <f aca="false">AVERAGEIF('Customer Data'!H2:H31,"Annual",'Customer Data'!I2:I31)</f>
        <v>3.83333333333333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customFormat="false" ht="21.75" hidden="false" customHeight="true" outlineLevel="0" collapsed="false">
      <c r="A15" s="8"/>
      <c r="B15" s="46" t="s">
        <v>21</v>
      </c>
      <c r="C15" s="53" t="n">
        <f aca="false">COUNTIFS('Customer Data'!H2:H31,"Monthly",'Customer Data'!K2:K31,"&gt;="&amp;70)</f>
        <v>0</v>
      </c>
      <c r="D15" s="54" t="n">
        <f aca="false">COUNTIFS('Customer Data'!H2:H31,"Monthly",'Customer Data'!K2:K31,"&gt;="&amp;40,'Customer Data'!K2:K31,"&lt;"&amp;70)</f>
        <v>7</v>
      </c>
      <c r="E15" s="55" t="n">
        <f aca="false">COUNTIFS('Customer Data'!H2:H31,"Monthly",'Customer Data'!K2:K31,"&lt;"&amp;40)</f>
        <v>2</v>
      </c>
      <c r="F15" s="56" t="n">
        <f aca="false">AVERAGEIF('Customer Data'!H2:H31,"Monthly",'Customer Data'!E2:E31)</f>
        <v>2153.98</v>
      </c>
      <c r="G15" s="47" t="n">
        <f aca="false">AVERAGEIF('Customer Data'!H2:H31,"Monthly",'Customer Data'!I2:I31)</f>
        <v>1.77777777777778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customFormat="false" ht="21.75" hidden="false" customHeight="true" outlineLevel="0" collapsed="false">
      <c r="A16" s="8"/>
      <c r="B16" s="27" t="s">
        <v>29</v>
      </c>
      <c r="C16" s="28" t="n">
        <f aca="false">COUNTIFS('Customer Data'!H2:H31,"Bi-Annual",'Customer Data'!K2:K31,"&gt;="&amp;70)</f>
        <v>1</v>
      </c>
      <c r="D16" s="50" t="n">
        <f aca="false">COUNTIFS('Customer Data'!H2:H31,"Bi-Annual",'Customer Data'!K2:K31,"&gt;="&amp;40,'Customer Data'!K2:K31,"&lt;"&amp;70)</f>
        <v>7</v>
      </c>
      <c r="E16" s="51" t="n">
        <f aca="false">COUNTIFS('Customer Data'!H2:H31,"Bi-Annual",'Customer Data'!K2:K31,"&lt;"&amp;40)</f>
        <v>1</v>
      </c>
      <c r="F16" s="52" t="n">
        <f aca="false">AVERAGEIF('Customer Data'!H2:H31,"Bi-Annual",'Customer Data'!E2:E31)</f>
        <v>2169.7</v>
      </c>
      <c r="G16" s="31" t="n">
        <f aca="false">AVERAGEIF('Customer Data'!H2:H31,"Bi-Annual",'Customer Data'!I2:I31)</f>
        <v>2.22222222222222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customFormat="false" ht="25.5" hidden="false" customHeight="true" outlineLevel="0" collapsed="false">
      <c r="A20" s="8"/>
      <c r="B20" s="11" t="s">
        <v>133</v>
      </c>
      <c r="C20" s="11"/>
      <c r="D20" s="11"/>
      <c r="E20" s="11"/>
      <c r="F20" s="11"/>
      <c r="G20" s="11"/>
      <c r="H20" s="11"/>
      <c r="I20" s="11"/>
      <c r="J20" s="11"/>
      <c r="K20" s="11"/>
      <c r="L20" s="8"/>
      <c r="M20" s="8"/>
      <c r="N20" s="8"/>
      <c r="O20" s="8"/>
      <c r="P20" s="8"/>
      <c r="Q20" s="8"/>
      <c r="R20" s="8"/>
      <c r="S20" s="8"/>
    </row>
    <row r="21" customFormat="false" ht="15" hidden="false" customHeight="true" outlineLevel="0" collapsed="false">
      <c r="A21" s="8"/>
      <c r="B21" s="57" t="s">
        <v>63</v>
      </c>
      <c r="C21" s="58" t="n">
        <f aca="false">COUNTIF('Customer Data'!L2:L31,"Churned")</f>
        <v>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customFormat="false" ht="15" hidden="false" customHeight="true" outlineLevel="0" collapsed="false">
      <c r="A22" s="8"/>
      <c r="B22" s="57" t="s">
        <v>24</v>
      </c>
      <c r="C22" s="58" t="n">
        <f aca="false">COUNTIF('Customer Data'!L2:L31,"At Risk")</f>
        <v>20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customFormat="false" ht="15" hidden="false" customHeight="true" outlineLevel="0" collapsed="false">
      <c r="A23" s="8"/>
      <c r="B23" s="57" t="s">
        <v>16</v>
      </c>
      <c r="C23" s="58" t="n">
        <f aca="false">COUNTIF('Customer Data'!L2:L31,"Retained")</f>
        <v>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customFormat="false" ht="1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customFormat="false" ht="1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customFormat="false" ht="1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customFormat="false" ht="1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customFormat="false" ht="1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customFormat="false" ht="1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customFormat="false" ht="1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customFormat="false" ht="1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customFormat="false" ht="1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customFormat="false" ht="15" hidden="false" customHeight="tru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</sheetData>
  <mergeCells count="4">
    <mergeCell ref="B2:N2"/>
    <mergeCell ref="B4:K4"/>
    <mergeCell ref="B12:K12"/>
    <mergeCell ref="B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2026-05-23T06:18:24Z</dcterms:created>
  <dc:creator>openpyxl</dc:creator>
  <dc:description/>
  <dc:language>en-US</dc:language>
  <cp:lastModifiedBy/>
  <dcterms:modified xsi:type="dcterms:W3CDTF">2026-05-23T06:18:50Z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